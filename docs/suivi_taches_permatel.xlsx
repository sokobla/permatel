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au de Bord" sheetId="1" state="visible" r:id="rId3"/>
    <sheet name="Tâches" sheetId="2" state="visible" r:id="rId4"/>
    <sheet name="Changelog" sheetId="3" state="visible" r:id="rId5"/>
  </sheets>
  <definedNames>
    <definedName function="false" hidden="true" localSheetId="1" name="_xlnm._FilterDatabase" vbProcedure="false">Tâches!$A$4:$M$28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<sst xmlns="http://schemas.openxmlformats.org/spreadsheetml/2006/main" count="332" uniqueCount="180">
  <si>
    <t xml:space="preserve">PERMATEL — SUIVI DES TÂCHES</t>
  </si>
  <si>
    <t xml:space="preserve">Plan d'action · Audit du 2026-05-10 · Dernière mise à jour : 2026-05-10</t>
  </si>
  <si>
    <t xml:space="preserve">Total Tâches</t>
  </si>
  <si>
    <t xml:space="preserve">À faire</t>
  </si>
  <si>
    <t xml:space="preserve">En cours</t>
  </si>
  <si>
    <t xml:space="preserve">Complétées</t>
  </si>
  <si>
    <t xml:space="preserve">Bloquées</t>
  </si>
  <si>
    <t xml:space="preserve">Avancement Global</t>
  </si>
  <si>
    <t xml:space="preserve">AVANCEMENT PAR PHASE</t>
  </si>
  <si>
    <t xml:space="preserve">Phase</t>
  </si>
  <si>
    <t xml:space="preserve">Description</t>
  </si>
  <si>
    <t xml:space="preserve">Durée</t>
  </si>
  <si>
    <t xml:space="preserve">Nb tâches</t>
  </si>
  <si>
    <t xml:space="preserve">% Phase</t>
  </si>
  <si>
    <t xml:space="preserve">Phase 1</t>
  </si>
  <si>
    <t xml:space="preserve">PHASE 1 — Sécurité</t>
  </si>
  <si>
    <t xml:space="preserve">~2j</t>
  </si>
  <si>
    <t xml:space="preserve">Phase 2</t>
  </si>
  <si>
    <t xml:space="preserve">PHASE 2 — Backend complet</t>
  </si>
  <si>
    <t xml:space="preserve">~5j</t>
  </si>
  <si>
    <t xml:space="preserve">Phase 3</t>
  </si>
  <si>
    <t xml:space="preserve">PHASE 3 — Tests</t>
  </si>
  <si>
    <t xml:space="preserve">~4j</t>
  </si>
  <si>
    <t xml:space="preserve">Phase 4</t>
  </si>
  <si>
    <t xml:space="preserve">PHASE 4 — Frontend métier</t>
  </si>
  <si>
    <t xml:space="preserve">~10j</t>
  </si>
  <si>
    <t xml:space="preserve">Phase 5</t>
  </si>
  <si>
    <t xml:space="preserve">PHASE 5 — Qualité &amp; Production</t>
  </si>
  <si>
    <t xml:space="preserve">LÉGENDE — STATUTS</t>
  </si>
  <si>
    <t xml:space="preserve">Complété</t>
  </si>
  <si>
    <t xml:space="preserve">Bloqué</t>
  </si>
  <si>
    <t xml:space="preserve">Abandonné</t>
  </si>
  <si>
    <t xml:space="preserve">REGISTRE DES TÂCHES — PERMATEL</t>
  </si>
  <si>
    <t xml:space="preserve">Mettre à jour le statut et la date de complétion après chaque tâche terminée.</t>
  </si>
  <si>
    <t xml:space="preserve">ID</t>
  </si>
  <si>
    <t xml:space="preserve">Domaine</t>
  </si>
  <si>
    <t xml:space="preserve">Priorité</t>
  </si>
  <si>
    <t xml:space="preserve">Titre</t>
  </si>
  <si>
    <t xml:space="preserve">Statut</t>
  </si>
  <si>
    <t xml:space="preserve">Effort</t>
  </si>
  <si>
    <t xml:space="preserve">Fichiers impactés</t>
  </si>
  <si>
    <t xml:space="preserve">Dépendances</t>
  </si>
  <si>
    <t xml:space="preserve">Date début</t>
  </si>
  <si>
    <t xml:space="preserve">Date fin</t>
  </si>
  <si>
    <t xml:space="preserve">Notes</t>
  </si>
  <si>
    <t xml:space="preserve">1.1</t>
  </si>
  <si>
    <t xml:space="preserve">Sécurité</t>
  </si>
  <si>
    <t xml:space="preserve">🔴 Critique</t>
  </si>
  <si>
    <t xml:space="preserve">Réactiver @jwt_required() + @tenant_required() sur clients, sites, contacts</t>
  </si>
  <si>
    <t xml:space="preserve">Décommenter les 20 @jwt_required(), remplacer par @tenant_required(). Filtrer chaque endpoint par g.tenant.id.</t>
  </si>
  <si>
    <t xml:space="preserve">½j</t>
  </si>
  <si>
    <t xml:space="preserve">routes/clients.py · sites.py · contacts.py</t>
  </si>
  <si>
    <t xml:space="preserve">2026-05-10</t>
  </si>
  <si>
    <t xml:space="preserve">1.2</t>
  </si>
  <si>
    <t xml:space="preserve">Appliquer @role_required() aux endpoints d'administration</t>
  </si>
  <si>
    <t xml:space="preserve">Tenants création/suppression = ADMIN. Users création/update role = ADMIN. Demandes clôture = MANAGER|ADMIN.</t>
  </si>
  <si>
    <t xml:space="preserve">routes/tenants.py · users.py · demandes.py</t>
  </si>
  <si>
    <t xml:space="preserve">1.3</t>
  </si>
  <si>
    <t xml:space="preserve">Infra</t>
  </si>
  <si>
    <t xml:space="preserve">Corriger docker-compose.yml pour utiliser des variables d'environnement</t>
  </si>
  <si>
    <t xml:space="preserve">Remplacer credentials et JWT_SECRET_KEY hardcodés par ${VAR}. Créer .env.example documenté.</t>
  </si>
  <si>
    <t xml:space="preserve">2h</t>
  </si>
  <si>
    <t xml:space="preserve">docker-compose.yml · .env.example (nouveau)</t>
  </si>
  <si>
    <t xml:space="preserve">1.4</t>
  </si>
  <si>
    <t xml:space="preserve">Frontend</t>
  </si>
  <si>
    <t xml:space="preserve">Brancher la guard de navigation Vue Router sur le store Pinia</t>
  </si>
  <si>
    <t xml:space="preserve">Remplacer isAuthenticated=false par authStore.isAuthenticated. Gérer redirect returnUrl.</t>
  </si>
  <si>
    <t xml:space="preserve">frontend/src/router/index.js</t>
  </si>
  <si>
    <t xml:space="preserve">1.5</t>
  </si>
  <si>
    <t xml:space="preserve">Ajouter l'intercepteur de refresh automatique des tokens</t>
  </si>
  <si>
    <t xml:space="preserve">Sur 401: appeler /api/auth/refresh, mettre à jour store, rejouer requête. Si refresh échoue: logout + redirect /login.</t>
  </si>
  <si>
    <t xml:space="preserve">services/http/interceptor.js · store/auth.js</t>
  </si>
  <si>
    <t xml:space="preserve">2.1</t>
  </si>
  <si>
    <t xml:space="preserve">Backend</t>
  </si>
  <si>
    <t xml:space="preserve">🟡 Haute</t>
  </si>
  <si>
    <t xml:space="preserve">Réactiver et compléter le blueprint Prestataires</t>
  </si>
  <si>
    <t xml:space="preserve">Décommenter dans __init__.py. Écrire CRUD complet avec @tenant_required(). Prérequis pour 2.2.</t>
  </si>
  <si>
    <t xml:space="preserve">1j</t>
  </si>
  <si>
    <t xml:space="preserve">routes/prestataires.py · app/__init__.py</t>
  </si>
  <si>
    <t xml:space="preserve">2.2</t>
  </si>
  <si>
    <t xml:space="preserve">Créer les routes Agents de sécurité</t>
  </si>
  <si>
    <t xml:space="preserve">Blueprint /api/agents-securite. CRUD + filtrage tenant. Recherche par matricule. Dépend de 2.1.</t>
  </si>
  <si>
    <t xml:space="preserve">routes/agents_securite.py (nouveau) · app/__init__.py</t>
  </si>
  <si>
    <t xml:space="preserve">2.3</t>
  </si>
  <si>
    <t xml:space="preserve">Créer les routes Interactions (sous-ressource de Demandes)</t>
  </si>
  <si>
    <t xml:space="preserve">GET /api/demandes/{id}/interactions, POST création. Si type=CHANGEMENT_STATUT, mettre à jour statut demande.</t>
  </si>
  <si>
    <t xml:space="preserve">routes/demandes.py ou interactions.py (nouveau)</t>
  </si>
  <si>
    <t xml:space="preserve">2.4</t>
  </si>
  <si>
    <t xml:space="preserve">Créer les routes Fichiers (upload/download)</t>
  </si>
  <si>
    <t xml:space="preserve">POST upload multipart, GET liste, GET download. Chemin isolé par tenant. Validation type MIME + taille max.</t>
  </si>
  <si>
    <t xml:space="preserve">routes/fichiers.py (nouveau) · app/__init__.py</t>
  </si>
  <si>
    <t xml:space="preserve">2.5</t>
  </si>
  <si>
    <t xml:space="preserve">Implémenter le flow select-tenant côté frontend</t>
  </si>
  <si>
    <t xml:space="preserve">Après login si tenants.length &gt; 1: afficher modale. Appeler /api/auth/select-tenant. Stocker tid dans store.</t>
  </si>
  <si>
    <t xml:space="preserve">store/auth.js · views/TenantSelectView.vue (nouveau)</t>
  </si>
  <si>
    <t xml:space="preserve">3.1</t>
  </si>
  <si>
    <t xml:space="preserve">Tests</t>
  </si>
  <si>
    <t xml:space="preserve">🟢 Normale</t>
  </si>
  <si>
    <t xml:space="preserve">Tests Auth — login, logout, refresh</t>
  </si>
  <si>
    <t xml:space="preserve">Login OK/KO/inactif/sans tenant. Logout révocation. Double logout. Refresh OK/inactivité/révoqué.</t>
  </si>
  <si>
    <t xml:space="preserve">tests/test_auth_login.py · test_auth_logout.py · test_auth_refresh.py</t>
  </si>
  <si>
    <t xml:space="preserve">3.2</t>
  </si>
  <si>
    <t xml:space="preserve">Tests Clients, Sites, Contacts</t>
  </si>
  <si>
    <t xml:space="preserve">Pour chaque: list, get, create, update, deactivate. Tester isolation tenant A vs B.</t>
  </si>
  <si>
    <t xml:space="preserve">tests/test_clients.py · test_sites.py · test_contacts.py</t>
  </si>
  <si>
    <t xml:space="preserve">3.3</t>
  </si>
  <si>
    <t xml:space="preserve">Tests Users &amp; Demandes</t>
  </si>
  <si>
    <t xml:space="preserve">Users: CRUD + restriction rôle. Demandes: 4 types, changement statut, assignation, clôture.</t>
  </si>
  <si>
    <t xml:space="preserve">tests/test_users.py · test_demandes.py</t>
  </si>
  <si>
    <t xml:space="preserve">3.4</t>
  </si>
  <si>
    <t xml:space="preserve">Tests Interactions &amp; Fichiers</t>
  </si>
  <si>
    <t xml:space="preserve">Interactions: création + changement statut auto. Fichiers: upload/download, MIME, isolation tenant.</t>
  </si>
  <si>
    <t xml:space="preserve">tests/test_interactions.py · test_fichiers.py (nouveaux)</t>
  </si>
  <si>
    <t xml:space="preserve">4.1</t>
  </si>
  <si>
    <t xml:space="preserve">🔵 Normale</t>
  </si>
  <si>
    <t xml:space="preserve">Services API génériques (clients, sites, contacts, demandes, users)</t>
  </si>
  <si>
    <t xml:space="preserve">Un fichier service par ressource sur le modèle authService.js. Pas de fetch direct dans les composants.</t>
  </si>
  <si>
    <t xml:space="preserve">frontend/src/services/*.js (nouveaux)</t>
  </si>
  <si>
    <t xml:space="preserve">4.2</t>
  </si>
  <si>
    <t xml:space="preserve">Vue Clients — liste, détail, formulaire</t>
  </si>
  <si>
    <t xml:space="preserve">v-data-table avec recherche/pagination. Formulaire dans dialog. Afficher sites rattachés. Routes /clients, /clients/:id.</t>
  </si>
  <si>
    <t xml:space="preserve">1.5j</t>
  </si>
  <si>
    <t xml:space="preserve">views/ClientsView.vue · ClientDetailView.vue · router/index.js</t>
  </si>
  <si>
    <t xml:space="preserve">4.3</t>
  </si>
  <si>
    <t xml:space="preserve">Vue Sites &amp; Contacts</t>
  </si>
  <si>
    <t xml:space="preserve">Sites: liste filtrée par client. Contacts: recherche par nom/fonction, liens clients/sites.</t>
  </si>
  <si>
    <t xml:space="preserve">views/SitesView.vue · ContactsView.vue · router/index.js</t>
  </si>
  <si>
    <t xml:space="preserve">4.4</t>
  </si>
  <si>
    <t xml:space="preserve">Vue Demandes — liste, création par type, détail + timeline</t>
  </si>
  <si>
    <t xml:space="preserve">Filtres (statut/priorité/type/client). 4 sous-formulaires. Timeline interactions + PJ. Routes /demandes, /demandes/new, /demandes/:id.</t>
  </si>
  <si>
    <t xml:space="preserve">3j</t>
  </si>
  <si>
    <t xml:space="preserve">views/DemandesView.vue · DemandeDetailView.vue + composants</t>
  </si>
  <si>
    <t xml:space="preserve">4.5</t>
  </si>
  <si>
    <t xml:space="preserve">Brancher le Dashboard sur l'API réelle</t>
  </si>
  <si>
    <t xml:space="preserve">Remplacer useMockDashboardData.js par composable avec vrais appels. Ajouter /api/dashboard/stats backend.</t>
  </si>
  <si>
    <t xml:space="preserve">2j</t>
  </si>
  <si>
    <t xml:space="preserve">composables/useDashboardData.js · routes: /api/dashboard/stats (nouveau)</t>
  </si>
  <si>
    <t xml:space="preserve">4.6</t>
  </si>
  <si>
    <t xml:space="preserve">Navigation globale et layout authentifié</t>
  </si>
  <si>
    <t xml:space="preserve">Menu latéral avec tous les liens. Afficher rôle et tenant actif. Bouton déconnexion. Menus conditionnels par rôle.</t>
  </si>
  <si>
    <t xml:space="preserve">components/Navigation.vue · Header.vue</t>
  </si>
  <si>
    <t xml:space="preserve">5.1</t>
  </si>
  <si>
    <t xml:space="preserve">Qualité</t>
  </si>
  <si>
    <t xml:space="preserve">⚪ Basse</t>
  </si>
  <si>
    <t xml:space="preserve">Supprimer les fichiers orphelins à la racine</t>
  </si>
  <si>
    <t xml:space="preserve">api.js, axios.js, main.css à la racine. Vérifier qu'ils ne sont importés nulle part puis supprimer après validation.</t>
  </si>
  <si>
    <t xml:space="preserve">30m</t>
  </si>
  <si>
    <t xml:space="preserve">api.js · axios.js · main.css (racine projet)</t>
  </si>
  <si>
    <t xml:space="preserve">5.2</t>
  </si>
  <si>
    <t xml:space="preserve">Vérifier SQLALCHEMY_ECHO désactivé en production</t>
  </si>
  <si>
    <t xml:space="preserve">Confirmer ProductionConfig. Ajouter WARNING si DEBUG=False et ECHO=True.</t>
  </si>
  <si>
    <t xml:space="preserve">app/config.py</t>
  </si>
  <si>
    <t xml:space="preserve">5.3</t>
  </si>
  <si>
    <t xml:space="preserve">Documentation</t>
  </si>
  <si>
    <t xml:space="preserve">Mettre à jour README.md et PROJECT_STRUCTURE.md</t>
  </si>
  <si>
    <t xml:space="preserve">Nouveaux endpoints, flow multi-tenant, état réel. Ajouter changelog horodaté. Déplacer docs/ si nécessaire.</t>
  </si>
  <si>
    <t xml:space="preserve">README.md · PROJECT_STRUCTURE.md</t>
  </si>
  <si>
    <t xml:space="preserve">5.4</t>
  </si>
  <si>
    <t xml:space="preserve">Audit final et couverture de tests (objectif 80%+)</t>
  </si>
  <si>
    <t xml:space="preserve">pytest --cov=app --cov-report=html. Identifier zones non couvertes. Tester migrations sous Docker PostgreSQL.</t>
  </si>
  <si>
    <t xml:space="preserve">backend/tests/ · docker-compose.yml</t>
  </si>
  <si>
    <t xml:space="preserve">CHANGELOG — HISTORIQUE DES MISES À JOUR</t>
  </si>
  <si>
    <t xml:space="preserve">Date</t>
  </si>
  <si>
    <t xml:space="preserve">Tâche ID</t>
  </si>
  <si>
    <t xml:space="preserve">Ancien statut</t>
  </si>
  <si>
    <t xml:space="preserve">Nouveau statut</t>
  </si>
  <si>
    <t xml:space="preserve">Commentaire</t>
  </si>
  <si>
    <t xml:space="preserve">—</t>
  </si>
  <si>
    <t xml:space="preserve">Création du fichier de suivi</t>
  </si>
  <si>
    <t xml:space="preserve">Initialisé</t>
  </si>
  <si>
    <t xml:space="preserve">Audit initial du 2026-05-10</t>
  </si>
  <si>
    <t xml:space="preserve">Réactiver @tenant_required() sur clients/sites/contacts</t>
  </si>
  <si>
    <t xml:space="preserve">Fix imports backend.app.utils → app.utils. Corrigé delete_contact (jwt→tenant_required). Corrigé demandes.py.</t>
  </si>
  <si>
    <t xml:space="preserve">ADMIN requis sur update_user, update_user_status, add/update/remove tenant users. Fix import users.py.</t>
  </si>
  <si>
    <t xml:space="preserve">Corriger docker-compose.yml (pas de secrets hardcodés)</t>
  </si>
  <si>
    <t xml:space="preserve">Toutes les valeurs via ${VAR}. Healthcheck DB. .env racine créé. .env.example documenté.</t>
  </si>
  <si>
    <t xml:space="preserve">Guard router branché sur Pinia</t>
  </si>
  <si>
    <t xml:space="preserve">useAuthStore.isAuthenticated. meta.guestOnly sur /login. returnUrl mémorisé. Bypass dev supprimé.</t>
  </si>
  <si>
    <t xml:space="preserve">Intercepteur refresh automatique</t>
  </si>
  <si>
    <t xml:space="preserve">File d'attente failedQueue, flag isRefreshing, retry _retry. logoutSilent + redirect si refresh échoue.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</si>
</sst>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94A3B8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20"/>
      <color rgb="FF0F1117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F1117"/>
      <name val="Arial"/>
      <family val="0"/>
      <charset val="1"/>
    </font>
    <font>
      <b val="true"/>
      <sz val="10"/>
      <color rgb="FF92400E"/>
      <name val="Arial"/>
      <family val="0"/>
      <charset val="1"/>
    </font>
    <font>
      <b val="true"/>
      <sz val="10"/>
      <color rgb="FF1E40AF"/>
      <name val="Arial"/>
      <family val="0"/>
      <charset val="1"/>
    </font>
    <font>
      <b val="true"/>
      <sz val="10"/>
      <color rgb="FF065F46"/>
      <name val="Arial"/>
      <family val="0"/>
      <charset val="1"/>
    </font>
    <font>
      <b val="true"/>
      <sz val="10"/>
      <color rgb="FF991B1B"/>
      <name val="Arial"/>
      <family val="0"/>
      <charset val="1"/>
    </font>
    <font>
      <b val="true"/>
      <sz val="10"/>
      <color rgb="FF64748B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i val="true"/>
      <sz val="9"/>
      <color rgb="FF94A3B8"/>
      <name val="Arial"/>
      <family val="0"/>
      <charset val="1"/>
    </font>
    <font>
      <b val="true"/>
      <sz val="9"/>
      <color rgb="FF1E293B"/>
      <name val="Arial"/>
      <family val="0"/>
      <charset val="1"/>
    </font>
    <font>
      <sz val="9"/>
      <color rgb="FF0F1117"/>
      <name val="Arial"/>
      <family val="0"/>
      <charset val="1"/>
    </font>
    <font>
      <b val="true"/>
      <sz val="9"/>
      <color rgb="FF991B1B"/>
      <name val="Arial"/>
      <family val="0"/>
      <charset val="1"/>
    </font>
    <font>
      <b val="true"/>
      <sz val="9"/>
      <color rgb="FF065F46"/>
      <name val="Arial"/>
      <family val="0"/>
      <charset val="1"/>
    </font>
    <font>
      <b val="true"/>
      <sz val="9"/>
      <color rgb="FFB45309"/>
      <name val="Arial"/>
      <family val="0"/>
      <charset val="1"/>
    </font>
    <font>
      <b val="true"/>
      <sz val="9"/>
      <color rgb="FF92400E"/>
      <name val="Arial"/>
      <family val="0"/>
      <charset val="1"/>
    </font>
    <font>
      <b val="true"/>
      <sz val="9"/>
      <color rgb="FF1D4ED8"/>
      <name val="Arial"/>
      <family val="0"/>
      <charset val="1"/>
    </font>
    <font>
      <b val="true"/>
      <sz val="9"/>
      <color rgb="FF475569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sz val="10"/>
      <name val="Arial"/>
      <family val="0"/>
      <charset val="1"/>
    </font>
  </fonts>
  <fills count="22">
    <fill>
      <patternFill patternType="none"/>
    </fill>
    <fill>
      <patternFill patternType="gray125"/>
    </fill>
    <fill>
      <patternFill patternType="solid">
        <fgColor rgb="FF0F1117"/>
        <bgColor rgb="FF1A1D27"/>
      </patternFill>
    </fill>
    <fill>
      <patternFill patternType="solid">
        <fgColor rgb="FF1A1D27"/>
        <bgColor rgb="FF1E293B"/>
      </patternFill>
    </fill>
    <fill>
      <patternFill patternType="solid">
        <fgColor rgb="FF1E293B"/>
        <bgColor rgb="FF1A1D27"/>
      </patternFill>
    </fill>
    <fill>
      <patternFill patternType="solid">
        <fgColor rgb="FF92400E"/>
        <bgColor rgb="FF78350F"/>
      </patternFill>
    </fill>
    <fill>
      <patternFill patternType="solid">
        <fgColor rgb="FF1E40AF"/>
        <bgColor rgb="FF1D4ED8"/>
      </patternFill>
    </fill>
    <fill>
      <patternFill patternType="solid">
        <fgColor rgb="FF065F46"/>
        <bgColor rgb="FF14532D"/>
      </patternFill>
    </fill>
    <fill>
      <patternFill patternType="solid">
        <fgColor rgb="FF991B1B"/>
        <bgColor rgb="FF7F1D1D"/>
      </patternFill>
    </fill>
    <fill>
      <patternFill patternType="solid">
        <fgColor rgb="FF1D4ED8"/>
        <bgColor rgb="FF1E40AF"/>
      </patternFill>
    </fill>
    <fill>
      <patternFill patternType="solid">
        <fgColor rgb="FFF1F5F9"/>
        <bgColor rgb="FFF8FAFC"/>
      </patternFill>
    </fill>
    <fill>
      <patternFill patternType="solid">
        <fgColor rgb="FF334155"/>
        <bgColor rgb="FF1E3A5F"/>
      </patternFill>
    </fill>
    <fill>
      <patternFill patternType="solid">
        <fgColor rgb="FF7F1D1D"/>
        <bgColor rgb="FF991B1B"/>
      </patternFill>
    </fill>
    <fill>
      <patternFill patternType="solid">
        <fgColor rgb="FF78350F"/>
        <bgColor rgb="FF92400E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2E1065"/>
        <bgColor rgb="FF1E293B"/>
      </patternFill>
    </fill>
    <fill>
      <patternFill patternType="solid">
        <fgColor rgb="FFFEF3C7"/>
        <bgColor rgb="FFFEE2E2"/>
      </patternFill>
    </fill>
    <fill>
      <patternFill patternType="solid">
        <fgColor rgb="FFDBEAFE"/>
        <bgColor rgb="FFE2E8F0"/>
      </patternFill>
    </fill>
    <fill>
      <patternFill patternType="solid">
        <fgColor rgb="FFD1FAE5"/>
        <bgColor rgb="FFDBEAFE"/>
      </patternFill>
    </fill>
    <fill>
      <patternFill patternType="solid">
        <fgColor rgb="FFFEE2E2"/>
        <bgColor rgb="FFFEF3C7"/>
      </patternFill>
    </fill>
    <fill>
      <patternFill patternType="solid">
        <fgColor rgb="FFF8FAFC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 diagonalUp="false" diagonalDown="false"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1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1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21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1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1E293B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1E3A5F"/>
          <bgColor rgb="FF000000"/>
        </patternFill>
      </fill>
    </dxf>
    <dxf>
      <fill>
        <patternFill patternType="solid">
          <fgColor rgb="FF2E1065"/>
          <bgColor rgb="FF000000"/>
        </patternFill>
      </fill>
    </dxf>
    <dxf>
      <fill>
        <patternFill patternType="solid">
          <fgColor rgb="FF78350F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F1117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1FAE5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92400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F1D1D"/>
      <rgbColor rgb="FF14532D"/>
      <rgbColor rgb="FF2E1065"/>
      <rgbColor rgb="FF808000"/>
      <rgbColor rgb="FF800080"/>
      <rgbColor rgb="FF065F46"/>
      <rgbColor rgb="FFE2E8F0"/>
      <rgbColor rgb="FF475569"/>
      <rgbColor rgb="FF9999FF"/>
      <rgbColor rgb="FF78350F"/>
      <rgbColor rgb="FFFEF3C7"/>
      <rgbColor rgb="FFDBEAFE"/>
      <rgbColor rgb="FF334155"/>
      <rgbColor rgb="FFFF8080"/>
      <rgbColor rgb="FF1D4ED8"/>
      <rgbColor rgb="FFCBD5E1"/>
      <rgbColor rgb="FF000080"/>
      <rgbColor rgb="FFFF00FF"/>
      <rgbColor rgb="FFFFFF00"/>
      <rgbColor rgb="FF00FFFF"/>
      <rgbColor rgb="FF800080"/>
      <rgbColor rgb="FF991B1B"/>
      <rgbColor rgb="FF008080"/>
      <rgbColor rgb="FF0000FF"/>
      <rgbColor rgb="FF00CCFF"/>
      <rgbColor rgb="FFF1F5F9"/>
      <rgbColor rgb="FFD1FAE5"/>
      <rgbColor rgb="FFF8FAFC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4748B"/>
      <rgbColor rgb="FF94A3B8"/>
      <rgbColor rgb="FF1E3A5F"/>
      <rgbColor rgb="FF339966"/>
      <rgbColor rgb="FF0F1117"/>
      <rgbColor rgb="FF1A1D27"/>
      <rgbColor rgb="FF92400E"/>
      <rgbColor rgb="FFB45309"/>
      <rgbColor rgb="FF1E40AF"/>
      <rgbColor rgb="FF1E29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6"/>
    <col collapsed="false" customWidth="true" hidden="false" outlineLevel="0" max="3" min="3" style="1" width="10"/>
    <col collapsed="false" customWidth="true" hidden="false" outlineLevel="0" max="5" min="4" style="1" width="12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10" min="8" style="1" width="10"/>
  </cols>
  <sheetData>
    <row r="1" customFormat="false" ht="39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9.75" hidden="false" customHeight="true" outlineLevel="0" collapsed="false"/>
    <row r="4" customFormat="false" ht="27.75" hidden="false" customHeight="true" outlineLevel="0" collapsed="false">
      <c r="A4" s="4" t="s">
        <v>2</v>
      </c>
      <c r="B4" s="5" t="s">
        <v>3</v>
      </c>
      <c r="C4" s="6" t="s">
        <v>4</v>
      </c>
      <c r="D4" s="7" t="s">
        <v>5</v>
      </c>
      <c r="E4" s="8" t="s">
        <v>6</v>
      </c>
      <c r="G4" s="9" t="s">
        <v>7</v>
      </c>
    </row>
    <row r="5" customFormat="false" ht="49.5" hidden="false" customHeight="true" outlineLevel="0" collapsed="false">
      <c r="A5" s="10" t="n">
        <f aca="false">COUNTA(Tâches!A4:A200)-1</f>
        <v>24</v>
      </c>
      <c r="B5" s="10" t="n">
        <f aca="false">COUNTIF(Tâches!G4:G200,"À faire")</f>
        <v>19</v>
      </c>
      <c r="C5" s="10" t="n">
        <f aca="false">COUNTIF(Tâches!G4:G200,"En cours")</f>
        <v>0</v>
      </c>
      <c r="D5" s="10" t="n">
        <f aca="false">COUNTIF(Tâches!G4:G200,"Complété")</f>
        <v>5</v>
      </c>
      <c r="E5" s="10" t="n">
        <f aca="false">COUNTIF(Tâches!G4:G200,"Bloqué")</f>
        <v>0</v>
      </c>
      <c r="G5" s="11" t="n">
        <f aca="false">IFERROR(D5/A5,0)</f>
        <v>0.208333333333333</v>
      </c>
    </row>
    <row r="6" customFormat="false" ht="9.75" hidden="false" customHeight="true" outlineLevel="0" collapsed="false"/>
    <row r="7" customFormat="false" ht="24" hidden="false" customHeight="true" outlineLevel="0" collapsed="false">
      <c r="A7" s="12" t="s">
        <v>8</v>
      </c>
      <c r="B7" s="12"/>
      <c r="C7" s="12"/>
      <c r="D7" s="12"/>
      <c r="E7" s="12"/>
      <c r="F7" s="12"/>
      <c r="G7" s="12"/>
      <c r="H7" s="12"/>
      <c r="I7" s="12"/>
      <c r="J7" s="12"/>
    </row>
    <row r="8" customFormat="false" ht="21.75" hidden="false" customHeight="true" outlineLevel="0" collapsed="false">
      <c r="A8" s="13" t="s">
        <v>9</v>
      </c>
      <c r="B8" s="13" t="s">
        <v>10</v>
      </c>
      <c r="C8" s="13" t="s">
        <v>11</v>
      </c>
      <c r="D8" s="13" t="s">
        <v>12</v>
      </c>
      <c r="E8" s="13" t="s">
        <v>5</v>
      </c>
      <c r="F8" s="13" t="s">
        <v>13</v>
      </c>
    </row>
    <row r="9" customFormat="false" ht="21.75" hidden="false" customHeight="true" outlineLevel="0" collapsed="false">
      <c r="A9" s="14" t="s">
        <v>14</v>
      </c>
      <c r="B9" s="15" t="s">
        <v>15</v>
      </c>
      <c r="C9" s="16" t="s">
        <v>16</v>
      </c>
      <c r="D9" s="16" t="n">
        <v>5</v>
      </c>
      <c r="E9" s="16" t="n">
        <f aca="false">COUNTIFS(Tâches!B4:B200,"Phase 1",Tâches!G4:G200,"Complété")</f>
        <v>5</v>
      </c>
      <c r="F9" s="17" t="n">
        <f aca="false">IFERROR(E9/D9,0)</f>
        <v>1</v>
      </c>
    </row>
    <row r="10" customFormat="false" ht="21.75" hidden="false" customHeight="true" outlineLevel="0" collapsed="false">
      <c r="A10" s="18" t="s">
        <v>17</v>
      </c>
      <c r="B10" s="15" t="s">
        <v>18</v>
      </c>
      <c r="C10" s="16" t="s">
        <v>19</v>
      </c>
      <c r="D10" s="16" t="n">
        <v>5</v>
      </c>
      <c r="E10" s="16" t="n">
        <f aca="false">COUNTIFS(Tâches!B4:B200,"Phase 2",Tâches!G4:G200,"Complété")</f>
        <v>0</v>
      </c>
      <c r="F10" s="17" t="n">
        <f aca="false">IFERROR(E10/D10,0)</f>
        <v>0</v>
      </c>
    </row>
    <row r="11" customFormat="false" ht="21.75" hidden="false" customHeight="true" outlineLevel="0" collapsed="false">
      <c r="A11" s="19" t="s">
        <v>20</v>
      </c>
      <c r="B11" s="15" t="s">
        <v>21</v>
      </c>
      <c r="C11" s="16" t="s">
        <v>22</v>
      </c>
      <c r="D11" s="16" t="n">
        <v>4</v>
      </c>
      <c r="E11" s="16" t="n">
        <f aca="false">COUNTIFS(Tâches!B4:B200,"Phase 3",Tâches!G4:G200,"Complété")</f>
        <v>0</v>
      </c>
      <c r="F11" s="17" t="n">
        <f aca="false">IFERROR(E11/D11,0)</f>
        <v>0</v>
      </c>
    </row>
    <row r="12" customFormat="false" ht="21.75" hidden="false" customHeight="true" outlineLevel="0" collapsed="false">
      <c r="A12" s="20" t="s">
        <v>23</v>
      </c>
      <c r="B12" s="15" t="s">
        <v>24</v>
      </c>
      <c r="C12" s="16" t="s">
        <v>25</v>
      </c>
      <c r="D12" s="16" t="n">
        <v>6</v>
      </c>
      <c r="E12" s="16" t="n">
        <f aca="false">COUNTIFS(Tâches!B4:B200,"Phase 4",Tâches!G4:G200,"Complété")</f>
        <v>0</v>
      </c>
      <c r="F12" s="17" t="n">
        <f aca="false">IFERROR(E12/D12,0)</f>
        <v>0</v>
      </c>
    </row>
    <row r="13" customFormat="false" ht="21.75" hidden="false" customHeight="true" outlineLevel="0" collapsed="false">
      <c r="A13" s="21" t="s">
        <v>26</v>
      </c>
      <c r="B13" s="15" t="s">
        <v>27</v>
      </c>
      <c r="C13" s="16" t="s">
        <v>16</v>
      </c>
      <c r="D13" s="16" t="n">
        <v>4</v>
      </c>
      <c r="E13" s="16" t="n">
        <f aca="false">COUNTIFS(Tâches!B4:B200,"Phase 5",Tâches!G4:G200,"Complété")</f>
        <v>0</v>
      </c>
      <c r="F13" s="17" t="n">
        <f aca="false">IFERROR(E13/D13,0)</f>
        <v>0</v>
      </c>
    </row>
    <row r="14" customFormat="false" ht="9.75" hidden="false" customHeight="true" outlineLevel="0" collapsed="false"/>
    <row r="15" customFormat="false" ht="24" hidden="false" customHeight="true" outlineLevel="0" collapsed="false">
      <c r="A15" s="12" t="s">
        <v>28</v>
      </c>
      <c r="B15" s="12"/>
      <c r="C15" s="12"/>
      <c r="D15" s="12"/>
      <c r="E15" s="12"/>
      <c r="F15" s="12"/>
      <c r="G15" s="12"/>
      <c r="H15" s="12"/>
      <c r="I15" s="12"/>
      <c r="J15" s="12"/>
    </row>
    <row r="16" customFormat="false" ht="25.5" hidden="false" customHeight="true" outlineLevel="0" collapsed="false">
      <c r="A16" s="22" t="s">
        <v>3</v>
      </c>
      <c r="B16" s="23" t="s">
        <v>4</v>
      </c>
      <c r="C16" s="24" t="s">
        <v>29</v>
      </c>
      <c r="D16" s="25" t="s">
        <v>30</v>
      </c>
      <c r="E16" s="26" t="s">
        <v>31</v>
      </c>
    </row>
  </sheetData>
  <mergeCells count="4">
    <mergeCell ref="A1:J1"/>
    <mergeCell ref="A2:J2"/>
    <mergeCell ref="A7:J7"/>
    <mergeCell ref="A15:J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0"/>
    <col collapsed="false" customWidth="true" hidden="false" outlineLevel="0" max="5" min="5" style="1" width="44"/>
    <col collapsed="false" customWidth="true" hidden="false" outlineLevel="0" max="6" min="6" style="1" width="52"/>
    <col collapsed="false" customWidth="true" hidden="false" outlineLevel="0" max="7" min="7" style="1" width="13"/>
    <col collapsed="false" customWidth="true" hidden="false" outlineLevel="0" max="8" min="8" style="1" width="10"/>
    <col collapsed="false" customWidth="true" hidden="false" outlineLevel="0" max="9" min="9" style="1" width="38"/>
    <col collapsed="false" customWidth="true" hidden="false" outlineLevel="0" max="10" min="10" style="1" width="12"/>
    <col collapsed="false" customWidth="true" hidden="false" outlineLevel="0" max="12" min="11" style="1" width="13"/>
    <col collapsed="false" customWidth="true" hidden="false" outlineLevel="0" max="13" min="13" style="1" width="36"/>
  </cols>
  <sheetData>
    <row r="1" customFormat="false" ht="34.5" hidden="false" customHeight="true" outlineLevel="0" collapsed="false">
      <c r="A1" s="27" t="s">
        <v>32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customFormat="false" ht="18" hidden="false" customHeight="true" outlineLevel="0" collapsed="false">
      <c r="A2" s="28" t="s">
        <v>33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</row>
    <row r="3" customFormat="false" ht="7.5" hidden="false" customHeight="true" outlineLevel="0" collapsed="false"/>
    <row r="4" customFormat="false" ht="30" hidden="false" customHeight="true" outlineLevel="0" collapsed="false">
      <c r="A4" s="29" t="s">
        <v>34</v>
      </c>
      <c r="B4" s="29" t="s">
        <v>9</v>
      </c>
      <c r="C4" s="29" t="s">
        <v>35</v>
      </c>
      <c r="D4" s="29" t="s">
        <v>36</v>
      </c>
      <c r="E4" s="29" t="s">
        <v>37</v>
      </c>
      <c r="F4" s="29" t="s">
        <v>10</v>
      </c>
      <c r="G4" s="29" t="s">
        <v>38</v>
      </c>
      <c r="H4" s="29" t="s">
        <v>39</v>
      </c>
      <c r="I4" s="29" t="s">
        <v>40</v>
      </c>
      <c r="J4" s="29" t="s">
        <v>41</v>
      </c>
      <c r="K4" s="29" t="s">
        <v>42</v>
      </c>
      <c r="L4" s="29" t="s">
        <v>43</v>
      </c>
      <c r="M4" s="29" t="s">
        <v>44</v>
      </c>
    </row>
    <row r="5" customFormat="false" ht="37.5" hidden="false" customHeight="true" outlineLevel="0" collapsed="false">
      <c r="A5" s="30" t="s">
        <v>45</v>
      </c>
      <c r="B5" s="31" t="s">
        <v>14</v>
      </c>
      <c r="C5" s="32" t="s">
        <v>46</v>
      </c>
      <c r="D5" s="33" t="s">
        <v>47</v>
      </c>
      <c r="E5" s="34" t="s">
        <v>48</v>
      </c>
      <c r="F5" s="34" t="s">
        <v>49</v>
      </c>
      <c r="G5" s="35" t="s">
        <v>29</v>
      </c>
      <c r="H5" s="34" t="s">
        <v>50</v>
      </c>
      <c r="I5" s="34" t="s">
        <v>51</v>
      </c>
      <c r="J5" s="34"/>
      <c r="K5" s="34" t="s">
        <v>52</v>
      </c>
      <c r="L5" s="34" t="s">
        <v>52</v>
      </c>
      <c r="M5" s="34"/>
    </row>
    <row r="6" customFormat="false" ht="37.5" hidden="false" customHeight="true" outlineLevel="0" collapsed="false">
      <c r="A6" s="30" t="s">
        <v>53</v>
      </c>
      <c r="B6" s="31" t="s">
        <v>14</v>
      </c>
      <c r="C6" s="32" t="s">
        <v>46</v>
      </c>
      <c r="D6" s="33" t="s">
        <v>47</v>
      </c>
      <c r="E6" s="32" t="s">
        <v>54</v>
      </c>
      <c r="F6" s="32" t="s">
        <v>55</v>
      </c>
      <c r="G6" s="35" t="s">
        <v>29</v>
      </c>
      <c r="H6" s="32" t="s">
        <v>50</v>
      </c>
      <c r="I6" s="32" t="s">
        <v>56</v>
      </c>
      <c r="J6" s="32"/>
      <c r="K6" s="32" t="s">
        <v>52</v>
      </c>
      <c r="L6" s="32" t="s">
        <v>52</v>
      </c>
      <c r="M6" s="32"/>
    </row>
    <row r="7" customFormat="false" ht="37.5" hidden="false" customHeight="true" outlineLevel="0" collapsed="false">
      <c r="A7" s="30" t="s">
        <v>57</v>
      </c>
      <c r="B7" s="31" t="s">
        <v>14</v>
      </c>
      <c r="C7" s="32" t="s">
        <v>58</v>
      </c>
      <c r="D7" s="33" t="s">
        <v>47</v>
      </c>
      <c r="E7" s="34" t="s">
        <v>59</v>
      </c>
      <c r="F7" s="34" t="s">
        <v>60</v>
      </c>
      <c r="G7" s="35" t="s">
        <v>29</v>
      </c>
      <c r="H7" s="34" t="s">
        <v>61</v>
      </c>
      <c r="I7" s="34" t="s">
        <v>62</v>
      </c>
      <c r="J7" s="34"/>
      <c r="K7" s="34" t="s">
        <v>52</v>
      </c>
      <c r="L7" s="34" t="s">
        <v>52</v>
      </c>
      <c r="M7" s="34"/>
    </row>
    <row r="8" customFormat="false" ht="37.5" hidden="false" customHeight="true" outlineLevel="0" collapsed="false">
      <c r="A8" s="30" t="s">
        <v>63</v>
      </c>
      <c r="B8" s="31" t="s">
        <v>14</v>
      </c>
      <c r="C8" s="32" t="s">
        <v>64</v>
      </c>
      <c r="D8" s="33" t="s">
        <v>47</v>
      </c>
      <c r="E8" s="32" t="s">
        <v>65</v>
      </c>
      <c r="F8" s="32" t="s">
        <v>66</v>
      </c>
      <c r="G8" s="35" t="s">
        <v>29</v>
      </c>
      <c r="H8" s="32" t="s">
        <v>61</v>
      </c>
      <c r="I8" s="32" t="s">
        <v>67</v>
      </c>
      <c r="J8" s="32"/>
      <c r="K8" s="32" t="s">
        <v>52</v>
      </c>
      <c r="L8" s="32" t="s">
        <v>52</v>
      </c>
      <c r="M8" s="32"/>
    </row>
    <row r="9" customFormat="false" ht="37.5" hidden="false" customHeight="true" outlineLevel="0" collapsed="false">
      <c r="A9" s="30" t="s">
        <v>68</v>
      </c>
      <c r="B9" s="31" t="s">
        <v>14</v>
      </c>
      <c r="C9" s="32" t="s">
        <v>64</v>
      </c>
      <c r="D9" s="33" t="s">
        <v>47</v>
      </c>
      <c r="E9" s="34" t="s">
        <v>69</v>
      </c>
      <c r="F9" s="34" t="s">
        <v>70</v>
      </c>
      <c r="G9" s="35" t="s">
        <v>29</v>
      </c>
      <c r="H9" s="34" t="s">
        <v>50</v>
      </c>
      <c r="I9" s="34" t="s">
        <v>71</v>
      </c>
      <c r="J9" s="34" t="s">
        <v>63</v>
      </c>
      <c r="K9" s="34" t="s">
        <v>52</v>
      </c>
      <c r="L9" s="34" t="s">
        <v>52</v>
      </c>
      <c r="M9" s="34"/>
    </row>
    <row r="10" customFormat="false" ht="37.5" hidden="false" customHeight="true" outlineLevel="0" collapsed="false">
      <c r="A10" s="30" t="s">
        <v>72</v>
      </c>
      <c r="B10" s="36" t="s">
        <v>17</v>
      </c>
      <c r="C10" s="32" t="s">
        <v>73</v>
      </c>
      <c r="D10" s="37" t="s">
        <v>74</v>
      </c>
      <c r="E10" s="32" t="s">
        <v>75</v>
      </c>
      <c r="F10" s="32" t="s">
        <v>76</v>
      </c>
      <c r="G10" s="38" t="s">
        <v>3</v>
      </c>
      <c r="H10" s="32" t="s">
        <v>77</v>
      </c>
      <c r="I10" s="32" t="s">
        <v>78</v>
      </c>
      <c r="J10" s="32"/>
      <c r="K10" s="32"/>
      <c r="L10" s="32"/>
      <c r="M10" s="32"/>
    </row>
    <row r="11" customFormat="false" ht="37.5" hidden="false" customHeight="true" outlineLevel="0" collapsed="false">
      <c r="A11" s="30" t="s">
        <v>79</v>
      </c>
      <c r="B11" s="36" t="s">
        <v>17</v>
      </c>
      <c r="C11" s="32" t="s">
        <v>73</v>
      </c>
      <c r="D11" s="37" t="s">
        <v>74</v>
      </c>
      <c r="E11" s="34" t="s">
        <v>80</v>
      </c>
      <c r="F11" s="34" t="s">
        <v>81</v>
      </c>
      <c r="G11" s="38" t="s">
        <v>3</v>
      </c>
      <c r="H11" s="34" t="s">
        <v>77</v>
      </c>
      <c r="I11" s="34" t="s">
        <v>82</v>
      </c>
      <c r="J11" s="34" t="s">
        <v>72</v>
      </c>
      <c r="K11" s="34"/>
      <c r="L11" s="34"/>
      <c r="M11" s="34"/>
    </row>
    <row r="12" customFormat="false" ht="37.5" hidden="false" customHeight="true" outlineLevel="0" collapsed="false">
      <c r="A12" s="30" t="s">
        <v>83</v>
      </c>
      <c r="B12" s="36" t="s">
        <v>17</v>
      </c>
      <c r="C12" s="32" t="s">
        <v>73</v>
      </c>
      <c r="D12" s="37" t="s">
        <v>74</v>
      </c>
      <c r="E12" s="32" t="s">
        <v>84</v>
      </c>
      <c r="F12" s="32" t="s">
        <v>85</v>
      </c>
      <c r="G12" s="38" t="s">
        <v>3</v>
      </c>
      <c r="H12" s="32" t="s">
        <v>77</v>
      </c>
      <c r="I12" s="32" t="s">
        <v>86</v>
      </c>
      <c r="J12" s="32"/>
      <c r="K12" s="32"/>
      <c r="L12" s="32"/>
      <c r="M12" s="32"/>
    </row>
    <row r="13" customFormat="false" ht="37.5" hidden="false" customHeight="true" outlineLevel="0" collapsed="false">
      <c r="A13" s="30" t="s">
        <v>87</v>
      </c>
      <c r="B13" s="36" t="s">
        <v>17</v>
      </c>
      <c r="C13" s="32" t="s">
        <v>73</v>
      </c>
      <c r="D13" s="37" t="s">
        <v>74</v>
      </c>
      <c r="E13" s="34" t="s">
        <v>88</v>
      </c>
      <c r="F13" s="34" t="s">
        <v>89</v>
      </c>
      <c r="G13" s="38" t="s">
        <v>3</v>
      </c>
      <c r="H13" s="34" t="s">
        <v>77</v>
      </c>
      <c r="I13" s="34" t="s">
        <v>90</v>
      </c>
      <c r="J13" s="34"/>
      <c r="K13" s="34"/>
      <c r="L13" s="34"/>
      <c r="M13" s="34"/>
    </row>
    <row r="14" customFormat="false" ht="37.5" hidden="false" customHeight="true" outlineLevel="0" collapsed="false">
      <c r="A14" s="30" t="s">
        <v>91</v>
      </c>
      <c r="B14" s="36" t="s">
        <v>17</v>
      </c>
      <c r="C14" s="32" t="s">
        <v>64</v>
      </c>
      <c r="D14" s="37" t="s">
        <v>74</v>
      </c>
      <c r="E14" s="32" t="s">
        <v>92</v>
      </c>
      <c r="F14" s="32" t="s">
        <v>93</v>
      </c>
      <c r="G14" s="38" t="s">
        <v>3</v>
      </c>
      <c r="H14" s="32" t="s">
        <v>50</v>
      </c>
      <c r="I14" s="32" t="s">
        <v>94</v>
      </c>
      <c r="J14" s="32" t="s">
        <v>63</v>
      </c>
      <c r="K14" s="32"/>
      <c r="L14" s="32"/>
      <c r="M14" s="32"/>
    </row>
    <row r="15" customFormat="false" ht="37.5" hidden="false" customHeight="true" outlineLevel="0" collapsed="false">
      <c r="A15" s="30" t="s">
        <v>95</v>
      </c>
      <c r="B15" s="39" t="s">
        <v>20</v>
      </c>
      <c r="C15" s="32" t="s">
        <v>96</v>
      </c>
      <c r="D15" s="40" t="s">
        <v>97</v>
      </c>
      <c r="E15" s="34" t="s">
        <v>98</v>
      </c>
      <c r="F15" s="34" t="s">
        <v>99</v>
      </c>
      <c r="G15" s="38" t="s">
        <v>3</v>
      </c>
      <c r="H15" s="34" t="s">
        <v>77</v>
      </c>
      <c r="I15" s="34" t="s">
        <v>100</v>
      </c>
      <c r="J15" s="34"/>
      <c r="K15" s="34"/>
      <c r="L15" s="34"/>
      <c r="M15" s="34"/>
    </row>
    <row r="16" customFormat="false" ht="37.5" hidden="false" customHeight="true" outlineLevel="0" collapsed="false">
      <c r="A16" s="30" t="s">
        <v>101</v>
      </c>
      <c r="B16" s="39" t="s">
        <v>20</v>
      </c>
      <c r="C16" s="32" t="s">
        <v>96</v>
      </c>
      <c r="D16" s="40" t="s">
        <v>97</v>
      </c>
      <c r="E16" s="32" t="s">
        <v>102</v>
      </c>
      <c r="F16" s="32" t="s">
        <v>103</v>
      </c>
      <c r="G16" s="38" t="s">
        <v>3</v>
      </c>
      <c r="H16" s="32" t="s">
        <v>77</v>
      </c>
      <c r="I16" s="32" t="s">
        <v>104</v>
      </c>
      <c r="J16" s="32" t="s">
        <v>45</v>
      </c>
      <c r="K16" s="32"/>
      <c r="L16" s="32"/>
      <c r="M16" s="32"/>
    </row>
    <row r="17" customFormat="false" ht="37.5" hidden="false" customHeight="true" outlineLevel="0" collapsed="false">
      <c r="A17" s="30" t="s">
        <v>105</v>
      </c>
      <c r="B17" s="39" t="s">
        <v>20</v>
      </c>
      <c r="C17" s="32" t="s">
        <v>96</v>
      </c>
      <c r="D17" s="40" t="s">
        <v>97</v>
      </c>
      <c r="E17" s="34" t="s">
        <v>106</v>
      </c>
      <c r="F17" s="34" t="s">
        <v>107</v>
      </c>
      <c r="G17" s="38" t="s">
        <v>3</v>
      </c>
      <c r="H17" s="34" t="s">
        <v>77</v>
      </c>
      <c r="I17" s="34" t="s">
        <v>108</v>
      </c>
      <c r="J17" s="34"/>
      <c r="K17" s="34"/>
      <c r="L17" s="34"/>
      <c r="M17" s="34"/>
    </row>
    <row r="18" customFormat="false" ht="37.5" hidden="false" customHeight="true" outlineLevel="0" collapsed="false">
      <c r="A18" s="30" t="s">
        <v>109</v>
      </c>
      <c r="B18" s="39" t="s">
        <v>20</v>
      </c>
      <c r="C18" s="32" t="s">
        <v>96</v>
      </c>
      <c r="D18" s="40" t="s">
        <v>97</v>
      </c>
      <c r="E18" s="32" t="s">
        <v>110</v>
      </c>
      <c r="F18" s="32" t="s">
        <v>111</v>
      </c>
      <c r="G18" s="38" t="s">
        <v>3</v>
      </c>
      <c r="H18" s="32" t="s">
        <v>77</v>
      </c>
      <c r="I18" s="32" t="s">
        <v>112</v>
      </c>
      <c r="J18" s="32" t="s">
        <v>83</v>
      </c>
      <c r="K18" s="32"/>
      <c r="L18" s="32"/>
      <c r="M18" s="32"/>
    </row>
    <row r="19" customFormat="false" ht="37.5" hidden="false" customHeight="true" outlineLevel="0" collapsed="false">
      <c r="A19" s="30" t="s">
        <v>113</v>
      </c>
      <c r="B19" s="41" t="s">
        <v>23</v>
      </c>
      <c r="C19" s="32" t="s">
        <v>64</v>
      </c>
      <c r="D19" s="40" t="s">
        <v>114</v>
      </c>
      <c r="E19" s="34" t="s">
        <v>115</v>
      </c>
      <c r="F19" s="34" t="s">
        <v>116</v>
      </c>
      <c r="G19" s="38" t="s">
        <v>3</v>
      </c>
      <c r="H19" s="34" t="s">
        <v>50</v>
      </c>
      <c r="I19" s="34" t="s">
        <v>117</v>
      </c>
      <c r="J19" s="34" t="s">
        <v>45</v>
      </c>
      <c r="K19" s="34"/>
      <c r="L19" s="34"/>
      <c r="M19" s="34"/>
    </row>
    <row r="20" customFormat="false" ht="37.5" hidden="false" customHeight="true" outlineLevel="0" collapsed="false">
      <c r="A20" s="30" t="s">
        <v>118</v>
      </c>
      <c r="B20" s="41" t="s">
        <v>23</v>
      </c>
      <c r="C20" s="32" t="s">
        <v>64</v>
      </c>
      <c r="D20" s="40" t="s">
        <v>114</v>
      </c>
      <c r="E20" s="32" t="s">
        <v>119</v>
      </c>
      <c r="F20" s="32" t="s">
        <v>120</v>
      </c>
      <c r="G20" s="38" t="s">
        <v>3</v>
      </c>
      <c r="H20" s="32" t="s">
        <v>121</v>
      </c>
      <c r="I20" s="32" t="s">
        <v>122</v>
      </c>
      <c r="J20" s="32" t="s">
        <v>113</v>
      </c>
      <c r="K20" s="32"/>
      <c r="L20" s="32"/>
      <c r="M20" s="32"/>
    </row>
    <row r="21" customFormat="false" ht="37.5" hidden="false" customHeight="true" outlineLevel="0" collapsed="false">
      <c r="A21" s="30" t="s">
        <v>123</v>
      </c>
      <c r="B21" s="41" t="s">
        <v>23</v>
      </c>
      <c r="C21" s="32" t="s">
        <v>64</v>
      </c>
      <c r="D21" s="40" t="s">
        <v>114</v>
      </c>
      <c r="E21" s="34" t="s">
        <v>124</v>
      </c>
      <c r="F21" s="34" t="s">
        <v>125</v>
      </c>
      <c r="G21" s="38" t="s">
        <v>3</v>
      </c>
      <c r="H21" s="34" t="s">
        <v>121</v>
      </c>
      <c r="I21" s="34" t="s">
        <v>126</v>
      </c>
      <c r="J21" s="34" t="s">
        <v>113</v>
      </c>
      <c r="K21" s="34"/>
      <c r="L21" s="34"/>
      <c r="M21" s="34"/>
    </row>
    <row r="22" customFormat="false" ht="37.5" hidden="false" customHeight="true" outlineLevel="0" collapsed="false">
      <c r="A22" s="30" t="s">
        <v>127</v>
      </c>
      <c r="B22" s="41" t="s">
        <v>23</v>
      </c>
      <c r="C22" s="32" t="s">
        <v>64</v>
      </c>
      <c r="D22" s="40" t="s">
        <v>114</v>
      </c>
      <c r="E22" s="32" t="s">
        <v>128</v>
      </c>
      <c r="F22" s="32" t="s">
        <v>129</v>
      </c>
      <c r="G22" s="38" t="s">
        <v>3</v>
      </c>
      <c r="H22" s="32" t="s">
        <v>130</v>
      </c>
      <c r="I22" s="32" t="s">
        <v>131</v>
      </c>
      <c r="J22" s="32" t="s">
        <v>113</v>
      </c>
      <c r="K22" s="32"/>
      <c r="L22" s="32"/>
      <c r="M22" s="32"/>
    </row>
    <row r="23" customFormat="false" ht="37.5" hidden="false" customHeight="true" outlineLevel="0" collapsed="false">
      <c r="A23" s="30" t="s">
        <v>132</v>
      </c>
      <c r="B23" s="41" t="s">
        <v>23</v>
      </c>
      <c r="C23" s="32" t="s">
        <v>64</v>
      </c>
      <c r="D23" s="40" t="s">
        <v>114</v>
      </c>
      <c r="E23" s="34" t="s">
        <v>133</v>
      </c>
      <c r="F23" s="34" t="s">
        <v>134</v>
      </c>
      <c r="G23" s="38" t="s">
        <v>3</v>
      </c>
      <c r="H23" s="34" t="s">
        <v>135</v>
      </c>
      <c r="I23" s="34" t="s">
        <v>136</v>
      </c>
      <c r="J23" s="34" t="s">
        <v>113</v>
      </c>
      <c r="K23" s="34"/>
      <c r="L23" s="34"/>
      <c r="M23" s="34"/>
    </row>
    <row r="24" customFormat="false" ht="37.5" hidden="false" customHeight="true" outlineLevel="0" collapsed="false">
      <c r="A24" s="30" t="s">
        <v>137</v>
      </c>
      <c r="B24" s="41" t="s">
        <v>23</v>
      </c>
      <c r="C24" s="32" t="s">
        <v>64</v>
      </c>
      <c r="D24" s="40" t="s">
        <v>114</v>
      </c>
      <c r="E24" s="32" t="s">
        <v>138</v>
      </c>
      <c r="F24" s="32" t="s">
        <v>139</v>
      </c>
      <c r="G24" s="38" t="s">
        <v>3</v>
      </c>
      <c r="H24" s="32" t="s">
        <v>77</v>
      </c>
      <c r="I24" s="32" t="s">
        <v>140</v>
      </c>
      <c r="J24" s="32" t="s">
        <v>63</v>
      </c>
      <c r="K24" s="32"/>
      <c r="L24" s="32"/>
      <c r="M24" s="32"/>
    </row>
    <row r="25" customFormat="false" ht="37.5" hidden="false" customHeight="true" outlineLevel="0" collapsed="false">
      <c r="A25" s="30" t="s">
        <v>141</v>
      </c>
      <c r="B25" s="42" t="s">
        <v>26</v>
      </c>
      <c r="C25" s="32" t="s">
        <v>142</v>
      </c>
      <c r="D25" s="43" t="s">
        <v>143</v>
      </c>
      <c r="E25" s="34" t="s">
        <v>144</v>
      </c>
      <c r="F25" s="34" t="s">
        <v>145</v>
      </c>
      <c r="G25" s="38" t="s">
        <v>3</v>
      </c>
      <c r="H25" s="34" t="s">
        <v>146</v>
      </c>
      <c r="I25" s="34" t="s">
        <v>147</v>
      </c>
      <c r="J25" s="34"/>
      <c r="K25" s="34"/>
      <c r="L25" s="34"/>
      <c r="M25" s="34"/>
    </row>
    <row r="26" customFormat="false" ht="37.5" hidden="false" customHeight="true" outlineLevel="0" collapsed="false">
      <c r="A26" s="30" t="s">
        <v>148</v>
      </c>
      <c r="B26" s="42" t="s">
        <v>26</v>
      </c>
      <c r="C26" s="32" t="s">
        <v>142</v>
      </c>
      <c r="D26" s="43" t="s">
        <v>143</v>
      </c>
      <c r="E26" s="32" t="s">
        <v>149</v>
      </c>
      <c r="F26" s="32" t="s">
        <v>150</v>
      </c>
      <c r="G26" s="38" t="s">
        <v>3</v>
      </c>
      <c r="H26" s="32" t="s">
        <v>146</v>
      </c>
      <c r="I26" s="32" t="s">
        <v>151</v>
      </c>
      <c r="J26" s="32"/>
      <c r="K26" s="32"/>
      <c r="L26" s="32"/>
      <c r="M26" s="32"/>
    </row>
    <row r="27" customFormat="false" ht="37.5" hidden="false" customHeight="true" outlineLevel="0" collapsed="false">
      <c r="A27" s="30" t="s">
        <v>152</v>
      </c>
      <c r="B27" s="42" t="s">
        <v>26</v>
      </c>
      <c r="C27" s="32" t="s">
        <v>153</v>
      </c>
      <c r="D27" s="43" t="s">
        <v>143</v>
      </c>
      <c r="E27" s="34" t="s">
        <v>154</v>
      </c>
      <c r="F27" s="34" t="s">
        <v>155</v>
      </c>
      <c r="G27" s="38" t="s">
        <v>3</v>
      </c>
      <c r="H27" s="34" t="s">
        <v>77</v>
      </c>
      <c r="I27" s="34" t="s">
        <v>156</v>
      </c>
      <c r="J27" s="34"/>
      <c r="K27" s="34"/>
      <c r="L27" s="34"/>
      <c r="M27" s="34"/>
    </row>
    <row r="28" customFormat="false" ht="37.5" hidden="false" customHeight="true" outlineLevel="0" collapsed="false">
      <c r="A28" s="30" t="s">
        <v>157</v>
      </c>
      <c r="B28" s="42" t="s">
        <v>26</v>
      </c>
      <c r="C28" s="32" t="s">
        <v>96</v>
      </c>
      <c r="D28" s="43" t="s">
        <v>143</v>
      </c>
      <c r="E28" s="32" t="s">
        <v>158</v>
      </c>
      <c r="F28" s="32" t="s">
        <v>159</v>
      </c>
      <c r="G28" s="38" t="s">
        <v>3</v>
      </c>
      <c r="H28" s="32" t="s">
        <v>50</v>
      </c>
      <c r="I28" s="32" t="s">
        <v>160</v>
      </c>
      <c r="J28" s="32" t="s">
        <v>109</v>
      </c>
      <c r="K28" s="32"/>
      <c r="L28" s="32"/>
      <c r="M28" s="32"/>
    </row>
  </sheetData>
  <autoFilter ref="A4:M28"/>
  <mergeCells count="2">
    <mergeCell ref="A1:M1"/>
    <mergeCell ref="A2:M2"/>
  </mergeCells>
  <dataValidations count="1">
    <dataValidation allowBlank="false" error="Choisir: À faire, En cours, Complété, Bloqué, Abandonné" errorStyle="stop" errorTitle="Valeur invalide" operator="between" showDropDown="false" showErrorMessage="true" showInputMessage="false" sqref="G5:G28" type="list">
      <formula1>"À faire,En cours,Complété,Bloqué,Abandonné"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50"/>
    <col collapsed="false" customWidth="true" hidden="false" outlineLevel="0" max="5" min="4" style="1" width="16"/>
    <col collapsed="false" customWidth="true" hidden="false" outlineLevel="0" max="6" min="6" style="1" width="50"/>
  </cols>
  <sheetData>
    <row r="1" customFormat="false" ht="34.5" hidden="false" customHeight="true" outlineLevel="0" collapsed="false">
      <c r="A1" s="44" t="s">
        <v>161</v>
      </c>
      <c r="B1" s="44"/>
      <c r="C1" s="44"/>
      <c r="D1" s="44"/>
      <c r="E1" s="44"/>
      <c r="F1" s="44"/>
    </row>
    <row r="2" customFormat="false" ht="25.5" hidden="false" customHeight="true" outlineLevel="0" collapsed="false">
      <c r="A2" s="45" t="s">
        <v>162</v>
      </c>
      <c r="B2" s="45" t="s">
        <v>163</v>
      </c>
      <c r="C2" s="45" t="s">
        <v>37</v>
      </c>
      <c r="D2" s="45" t="s">
        <v>164</v>
      </c>
      <c r="E2" s="45" t="s">
        <v>165</v>
      </c>
      <c r="F2" s="45" t="s">
        <v>166</v>
      </c>
    </row>
    <row r="3" customFormat="false" ht="21.75" hidden="false" customHeight="true" outlineLevel="0" collapsed="false">
      <c r="A3" s="46" t="s">
        <v>52</v>
      </c>
      <c r="B3" s="46" t="s">
        <v>167</v>
      </c>
      <c r="C3" s="46" t="s">
        <v>168</v>
      </c>
      <c r="D3" s="46" t="s">
        <v>167</v>
      </c>
      <c r="E3" s="46" t="s">
        <v>169</v>
      </c>
      <c r="F3" s="46" t="s">
        <v>170</v>
      </c>
    </row>
    <row r="4" customFormat="false" ht="27.75" hidden="false" customHeight="true" outlineLevel="0" collapsed="false">
      <c r="A4" s="47" t="s">
        <v>52</v>
      </c>
      <c r="B4" s="47" t="s">
        <v>45</v>
      </c>
      <c r="C4" s="47" t="s">
        <v>171</v>
      </c>
      <c r="D4" s="47" t="s">
        <v>3</v>
      </c>
      <c r="E4" s="47" t="s">
        <v>29</v>
      </c>
      <c r="F4" s="47" t="s">
        <v>172</v>
      </c>
    </row>
    <row r="5" customFormat="false" ht="27.75" hidden="false" customHeight="true" outlineLevel="0" collapsed="false">
      <c r="A5" s="48" t="s">
        <v>52</v>
      </c>
      <c r="B5" s="48" t="s">
        <v>53</v>
      </c>
      <c r="C5" s="48" t="s">
        <v>54</v>
      </c>
      <c r="D5" s="48" t="s">
        <v>3</v>
      </c>
      <c r="E5" s="48" t="s">
        <v>29</v>
      </c>
      <c r="F5" s="48" t="s">
        <v>173</v>
      </c>
    </row>
    <row r="6" customFormat="false" ht="27.75" hidden="false" customHeight="true" outlineLevel="0" collapsed="false">
      <c r="A6" s="47" t="s">
        <v>52</v>
      </c>
      <c r="B6" s="47" t="s">
        <v>57</v>
      </c>
      <c r="C6" s="47" t="s">
        <v>174</v>
      </c>
      <c r="D6" s="47" t="s">
        <v>3</v>
      </c>
      <c r="E6" s="47" t="s">
        <v>29</v>
      </c>
      <c r="F6" s="47" t="s">
        <v>175</v>
      </c>
    </row>
    <row r="7" customFormat="false" ht="27.75" hidden="false" customHeight="true" outlineLevel="0" collapsed="false">
      <c r="A7" s="48" t="s">
        <v>52</v>
      </c>
      <c r="B7" s="48" t="s">
        <v>63</v>
      </c>
      <c r="C7" s="48" t="s">
        <v>176</v>
      </c>
      <c r="D7" s="48" t="s">
        <v>3</v>
      </c>
      <c r="E7" s="48" t="s">
        <v>29</v>
      </c>
      <c r="F7" s="48" t="s">
        <v>177</v>
      </c>
    </row>
    <row r="8" customFormat="false" ht="27.75" hidden="false" customHeight="true" outlineLevel="0" collapsed="false">
      <c r="A8" s="47" t="s">
        <v>52</v>
      </c>
      <c r="B8" s="47" t="s">
        <v>68</v>
      </c>
      <c r="C8" s="47" t="s">
        <v>178</v>
      </c>
      <c r="D8" s="47" t="s">
        <v>3</v>
      </c>
      <c r="E8" s="47" t="s">
        <v>29</v>
      </c>
      <c r="F8" s="47" t="s">
        <v>179</v>
      </c>
    </row>
    <row r="9" customFormat="false" ht="19.5" hidden="false" customHeight="true" outlineLevel="0" collapsed="false">
      <c r="A9" s="49"/>
      <c r="B9" s="49"/>
      <c r="C9" s="49"/>
      <c r="D9" s="49"/>
      <c r="E9" s="49"/>
      <c r="F9" s="49"/>
    </row>
    <row r="10" customFormat="false" ht="19.5" hidden="false" customHeight="true" outlineLevel="0" collapsed="false">
      <c r="A10" s="50"/>
      <c r="B10" s="50"/>
      <c r="C10" s="50"/>
      <c r="D10" s="50"/>
      <c r="E10" s="50"/>
      <c r="F10" s="50"/>
    </row>
    <row r="11" customFormat="false" ht="19.5" hidden="false" customHeight="true" outlineLevel="0" collapsed="false">
      <c r="A11" s="49"/>
      <c r="B11" s="49"/>
      <c r="C11" s="49"/>
      <c r="D11" s="49"/>
      <c r="E11" s="49"/>
      <c r="F11" s="49"/>
    </row>
    <row r="12" customFormat="false" ht="19.5" hidden="false" customHeight="true" outlineLevel="0" collapsed="false">
      <c r="A12" s="50"/>
      <c r="B12" s="50"/>
      <c r="C12" s="50"/>
      <c r="D12" s="50"/>
      <c r="E12" s="50"/>
      <c r="F12" s="50"/>
    </row>
    <row r="13" customFormat="false" ht="19.5" hidden="false" customHeight="true" outlineLevel="0" collapsed="false">
      <c r="A13" s="49"/>
      <c r="B13" s="49"/>
      <c r="C13" s="49"/>
      <c r="D13" s="49"/>
      <c r="E13" s="49"/>
      <c r="F13" s="49"/>
    </row>
    <row r="14" customFormat="false" ht="19.5" hidden="false" customHeight="true" outlineLevel="0" collapsed="false">
      <c r="A14" s="50"/>
      <c r="B14" s="50"/>
      <c r="C14" s="50"/>
      <c r="D14" s="50"/>
      <c r="E14" s="50"/>
      <c r="F14" s="50"/>
    </row>
    <row r="15" customFormat="false" ht="19.5" hidden="false" customHeight="true" outlineLevel="0" collapsed="false">
      <c r="A15" s="49"/>
      <c r="B15" s="49"/>
      <c r="C15" s="49"/>
      <c r="D15" s="49"/>
      <c r="E15" s="49"/>
      <c r="F15" s="49"/>
    </row>
    <row r="16" customFormat="false" ht="19.5" hidden="false" customHeight="true" outlineLevel="0" collapsed="false">
      <c r="A16" s="50"/>
      <c r="B16" s="50"/>
      <c r="C16" s="50"/>
      <c r="D16" s="50"/>
      <c r="E16" s="50"/>
      <c r="F16" s="50"/>
    </row>
    <row r="17" customFormat="false" ht="19.5" hidden="false" customHeight="true" outlineLevel="0" collapsed="false">
      <c r="A17" s="49"/>
      <c r="B17" s="49"/>
      <c r="C17" s="49"/>
      <c r="D17" s="49"/>
      <c r="E17" s="49"/>
      <c r="F17" s="49"/>
    </row>
    <row r="18" customFormat="false" ht="19.5" hidden="false" customHeight="true" outlineLevel="0" collapsed="false">
      <c r="A18" s="50"/>
      <c r="B18" s="50"/>
      <c r="C18" s="50"/>
      <c r="D18" s="50"/>
      <c r="E18" s="50"/>
      <c r="F18" s="50"/>
    </row>
    <row r="19" customFormat="false" ht="19.5" hidden="false" customHeight="true" outlineLevel="0" collapsed="false">
      <c r="A19" s="49"/>
      <c r="B19" s="49"/>
      <c r="C19" s="49"/>
      <c r="D19" s="49"/>
      <c r="E19" s="49"/>
      <c r="F19" s="49"/>
    </row>
    <row r="20" customFormat="false" ht="19.5" hidden="false" customHeight="true" outlineLevel="0" collapsed="false">
      <c r="A20" s="50"/>
      <c r="B20" s="50"/>
      <c r="C20" s="50"/>
      <c r="D20" s="50"/>
      <c r="E20" s="50"/>
      <c r="F20" s="50"/>
    </row>
    <row r="21" customFormat="false" ht="19.5" hidden="false" customHeight="true" outlineLevel="0" collapsed="false">
      <c r="A21" s="49"/>
      <c r="B21" s="49"/>
      <c r="C21" s="49"/>
      <c r="D21" s="49"/>
      <c r="E21" s="49"/>
      <c r="F21" s="49"/>
    </row>
    <row r="22" customFormat="false" ht="19.5" hidden="false" customHeight="true" outlineLevel="0" collapsed="false">
      <c r="A22" s="50"/>
      <c r="B22" s="50"/>
      <c r="C22" s="50"/>
      <c r="D22" s="50"/>
      <c r="E22" s="50"/>
      <c r="F22" s="50"/>
    </row>
    <row r="23" customFormat="false" ht="19.5" hidden="false" customHeight="true" outlineLevel="0" collapsed="false">
      <c r="A23" s="49"/>
      <c r="B23" s="49"/>
      <c r="C23" s="49"/>
      <c r="D23" s="49"/>
      <c r="E23" s="49"/>
      <c r="F23" s="49"/>
    </row>
    <row r="24" customFormat="false" ht="19.5" hidden="false" customHeight="true" outlineLevel="0" collapsed="false">
      <c r="A24" s="50"/>
      <c r="B24" s="50"/>
      <c r="C24" s="50"/>
      <c r="D24" s="50"/>
      <c r="E24" s="50"/>
      <c r="F24" s="50"/>
    </row>
    <row r="25" customFormat="false" ht="19.5" hidden="false" customHeight="true" outlineLevel="0" collapsed="false">
      <c r="A25" s="49"/>
      <c r="B25" s="49"/>
      <c r="C25" s="49"/>
      <c r="D25" s="49"/>
      <c r="E25" s="49"/>
      <c r="F25" s="49"/>
    </row>
    <row r="26" customFormat="false" ht="19.5" hidden="false" customHeight="true" outlineLevel="0" collapsed="false">
      <c r="A26" s="50"/>
      <c r="B26" s="50"/>
      <c r="C26" s="50"/>
      <c r="D26" s="50"/>
      <c r="E26" s="50"/>
      <c r="F26" s="50"/>
    </row>
    <row r="27" customFormat="false" ht="19.5" hidden="false" customHeight="true" outlineLevel="0" collapsed="false">
      <c r="A27" s="49"/>
      <c r="B27" s="49"/>
      <c r="C27" s="49"/>
      <c r="D27" s="49"/>
      <c r="E27" s="49"/>
      <c r="F27" s="49"/>
    </row>
    <row r="28" customFormat="false" ht="19.5" hidden="false" customHeight="true" outlineLevel="0" collapsed="false">
      <c r="A28" s="50"/>
      <c r="B28" s="50"/>
      <c r="C28" s="50"/>
      <c r="D28" s="50"/>
      <c r="E28" s="50"/>
      <c r="F28" s="50"/>
    </row>
    <row r="29" customFormat="false" ht="19.5" hidden="false" customHeight="true" outlineLevel="0" collapsed="false">
      <c r="A29" s="49"/>
      <c r="B29" s="49"/>
      <c r="C29" s="49"/>
      <c r="D29" s="49"/>
      <c r="E29" s="49"/>
      <c r="F29" s="49"/>
    </row>
    <row r="30" customFormat="false" ht="19.5" hidden="false" customHeight="true" outlineLevel="0" collapsed="false">
      <c r="A30" s="50"/>
      <c r="B30" s="50"/>
      <c r="C30" s="50"/>
      <c r="D30" s="50"/>
      <c r="E30" s="50"/>
      <c r="F30" s="50"/>
    </row>
    <row r="31" customFormat="false" ht="19.5" hidden="false" customHeight="true" outlineLevel="0" collapsed="false">
      <c r="A31" s="49"/>
      <c r="B31" s="49"/>
      <c r="C31" s="49"/>
      <c r="D31" s="49"/>
      <c r="E31" s="49"/>
      <c r="F31" s="49"/>
    </row>
    <row r="32" customFormat="false" ht="19.5" hidden="false" customHeight="true" outlineLevel="0" collapsed="false">
      <c r="A32" s="50"/>
      <c r="B32" s="50"/>
      <c r="C32" s="50"/>
      <c r="D32" s="50"/>
      <c r="E32" s="50"/>
      <c r="F32" s="50"/>
    </row>
    <row r="33" customFormat="false" ht="19.5" hidden="false" customHeight="true" outlineLevel="0" collapsed="false">
      <c r="A33" s="49"/>
      <c r="B33" s="49"/>
      <c r="C33" s="49"/>
      <c r="D33" s="49"/>
      <c r="E33" s="49"/>
      <c r="F33" s="49"/>
    </row>
    <row r="34" customFormat="false" ht="19.5" hidden="false" customHeight="true" outlineLevel="0" collapsed="false">
      <c r="A34" s="50"/>
      <c r="B34" s="50"/>
      <c r="C34" s="50"/>
      <c r="D34" s="50"/>
      <c r="E34" s="50"/>
      <c r="F34" s="50"/>
    </row>
    <row r="35" customFormat="false" ht="19.5" hidden="false" customHeight="true" outlineLevel="0" collapsed="false">
      <c r="A35" s="49"/>
      <c r="B35" s="49"/>
      <c r="C35" s="49"/>
      <c r="D35" s="49"/>
      <c r="E35" s="49"/>
      <c r="F35" s="49"/>
    </row>
    <row r="36" customFormat="false" ht="19.5" hidden="false" customHeight="true" outlineLevel="0" collapsed="false">
      <c r="A36" s="50"/>
      <c r="B36" s="50"/>
      <c r="C36" s="50"/>
      <c r="D36" s="50"/>
      <c r="E36" s="50"/>
      <c r="F36" s="50"/>
    </row>
    <row r="37" customFormat="false" ht="19.5" hidden="false" customHeight="true" outlineLevel="0" collapsed="false">
      <c r="A37" s="49"/>
      <c r="B37" s="49"/>
      <c r="C37" s="49"/>
      <c r="D37" s="49"/>
      <c r="E37" s="49"/>
      <c r="F37" s="49"/>
    </row>
    <row r="38" customFormat="false" ht="19.5" hidden="false" customHeight="true" outlineLevel="0" collapsed="false">
      <c r="A38" s="50"/>
      <c r="B38" s="50"/>
      <c r="C38" s="50"/>
      <c r="D38" s="50"/>
      <c r="E38" s="50"/>
      <c r="F38" s="50"/>
    </row>
    <row r="39" customFormat="false" ht="19.5" hidden="false" customHeight="true" outlineLevel="0" collapsed="false">
      <c r="A39" s="49"/>
      <c r="B39" s="49"/>
      <c r="C39" s="49"/>
      <c r="D39" s="49"/>
      <c r="E39" s="49"/>
      <c r="F39" s="49"/>
    </row>
    <row r="40" customFormat="false" ht="19.5" hidden="false" customHeight="true" outlineLevel="0" collapsed="false">
      <c r="A40" s="50"/>
      <c r="B40" s="50"/>
      <c r="C40" s="50"/>
      <c r="D40" s="50"/>
      <c r="E40" s="50"/>
      <c r="F40" s="50"/>
    </row>
    <row r="41" customFormat="false" ht="19.5" hidden="false" customHeight="true" outlineLevel="0" collapsed="false">
      <c r="A41" s="49"/>
      <c r="B41" s="49"/>
      <c r="C41" s="49"/>
      <c r="D41" s="49"/>
      <c r="E41" s="49"/>
      <c r="F41" s="49"/>
    </row>
    <row r="42" customFormat="false" ht="19.5" hidden="false" customHeight="true" outlineLevel="0" collapsed="false">
      <c r="A42" s="50"/>
      <c r="B42" s="50"/>
      <c r="C42" s="50"/>
      <c r="D42" s="50"/>
      <c r="E42" s="50"/>
      <c r="F42" s="50"/>
    </row>
    <row r="43" customFormat="false" ht="19.5" hidden="false" customHeight="true" outlineLevel="0" collapsed="false">
      <c r="A43" s="49"/>
      <c r="B43" s="49"/>
      <c r="C43" s="49"/>
      <c r="D43" s="49"/>
      <c r="E43" s="49"/>
      <c r="F43" s="49"/>
    </row>
    <row r="44" customFormat="false" ht="19.5" hidden="false" customHeight="true" outlineLevel="0" collapsed="false">
      <c r="A44" s="50"/>
      <c r="B44" s="50"/>
      <c r="C44" s="50"/>
      <c r="D44" s="50"/>
      <c r="E44" s="50"/>
      <c r="F44" s="50"/>
    </row>
    <row r="45" customFormat="false" ht="19.5" hidden="false" customHeight="true" outlineLevel="0" collapsed="false">
      <c r="A45" s="49"/>
      <c r="B45" s="49"/>
      <c r="C45" s="49"/>
      <c r="D45" s="49"/>
      <c r="E45" s="49"/>
      <c r="F45" s="49"/>
    </row>
    <row r="46" customFormat="false" ht="19.5" hidden="false" customHeight="true" outlineLevel="0" collapsed="false">
      <c r="A46" s="50"/>
      <c r="B46" s="50"/>
      <c r="C46" s="50"/>
      <c r="D46" s="50"/>
      <c r="E46" s="50"/>
      <c r="F46" s="50"/>
    </row>
    <row r="47" customFormat="false" ht="19.5" hidden="false" customHeight="true" outlineLevel="0" collapsed="false">
      <c r="A47" s="49"/>
      <c r="B47" s="49"/>
      <c r="C47" s="49"/>
      <c r="D47" s="49"/>
      <c r="E47" s="49"/>
      <c r="F47" s="49"/>
    </row>
    <row r="48" customFormat="false" ht="19.5" hidden="false" customHeight="true" outlineLevel="0" collapsed="false">
      <c r="A48" s="50"/>
      <c r="B48" s="50"/>
      <c r="C48" s="50"/>
      <c r="D48" s="50"/>
      <c r="E48" s="50"/>
      <c r="F48" s="50"/>
    </row>
    <row r="49" customFormat="false" ht="19.5" hidden="false" customHeight="true" outlineLevel="0" collapsed="false">
      <c r="A49" s="49"/>
      <c r="B49" s="49"/>
      <c r="C49" s="49"/>
      <c r="D49" s="49"/>
      <c r="E49" s="49"/>
      <c r="F49" s="49"/>
    </row>
    <row r="50" customFormat="false" ht="19.5" hidden="false" customHeight="true" outlineLevel="0" collapsed="false">
      <c r="A50" s="50"/>
      <c r="B50" s="50"/>
      <c r="C50" s="50"/>
      <c r="D50" s="50"/>
      <c r="E50" s="50"/>
      <c r="F50" s="50"/>
    </row>
    <row r="51" customFormat="false" ht="19.5" hidden="false" customHeight="true" outlineLevel="0" collapsed="false">
      <c r="A51" s="49"/>
      <c r="B51" s="49"/>
      <c r="C51" s="49"/>
      <c r="D51" s="49"/>
      <c r="E51" s="49"/>
      <c r="F51" s="49"/>
    </row>
    <row r="52" customFormat="false" ht="19.5" hidden="false" customHeight="true" outlineLevel="0" collapsed="false">
      <c r="A52" s="50"/>
      <c r="B52" s="50"/>
      <c r="C52" s="50"/>
      <c r="D52" s="50"/>
      <c r="E52" s="50"/>
      <c r="F52" s="50"/>
    </row>
    <row r="53" customFormat="false" ht="19.5" hidden="false" customHeight="true" outlineLevel="0" collapsed="false">
      <c r="A53" s="49"/>
      <c r="B53" s="49"/>
      <c r="C53" s="49"/>
      <c r="D53" s="49"/>
      <c r="E53" s="49"/>
      <c r="F53" s="49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2026-05-10T17:16:41Z</dcterms:created>
  <dc:creator>openpyxl</dc:creator>
  <dc:description/>
  <dc:language>en-US</dc:language>
  <cp:lastModifiedBy/>
  <dcterms:modified xsi:type="dcterms:W3CDTF">2026-05-10T19:34:47Z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