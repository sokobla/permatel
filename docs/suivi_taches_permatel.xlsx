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ableau de Bord" sheetId="1" state="visible" r:id="rId1"/>
    <sheet name="Tâches" sheetId="2" state="visible" r:id="rId2"/>
    <sheet name="Changelog" sheetId="3" state="visible" r:id="rId3"/>
  </sheets>
  <definedNames>
    <definedName name="_xlnm._FilterDatabase" localSheetId="1" hidden="1">'Tâches'!$A$4:$M$28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94A3B8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F1117"/>
      <sz val="2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F1117"/>
      <sz val="10"/>
    </font>
    <font>
      <name val="Arial"/>
      <charset val="1"/>
      <family val="0"/>
      <b val="1"/>
      <color rgb="FF92400E"/>
      <sz val="10"/>
    </font>
    <font>
      <name val="Arial"/>
      <charset val="1"/>
      <family val="0"/>
      <b val="1"/>
      <color rgb="FF1E40AF"/>
      <sz val="10"/>
    </font>
    <font>
      <name val="Arial"/>
      <charset val="1"/>
      <family val="0"/>
      <b val="1"/>
      <color rgb="FF065F46"/>
      <sz val="10"/>
    </font>
    <font>
      <name val="Arial"/>
      <charset val="1"/>
      <family val="0"/>
      <b val="1"/>
      <color rgb="FF991B1B"/>
      <sz val="10"/>
    </font>
    <font>
      <name val="Arial"/>
      <charset val="1"/>
      <family val="0"/>
      <b val="1"/>
      <color rgb="FF64748B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i val="1"/>
      <color rgb="FF94A3B8"/>
      <sz val="9"/>
    </font>
    <font>
      <name val="Arial"/>
      <charset val="1"/>
      <family val="0"/>
      <b val="1"/>
      <color rgb="FF1E293B"/>
      <sz val="9"/>
    </font>
    <font>
      <name val="Arial"/>
      <charset val="1"/>
      <family val="0"/>
      <color rgb="FF0F1117"/>
      <sz val="9"/>
    </font>
    <font>
      <name val="Arial"/>
      <charset val="1"/>
      <family val="0"/>
      <b val="1"/>
      <color rgb="FF991B1B"/>
      <sz val="9"/>
    </font>
    <font>
      <name val="Arial"/>
      <charset val="1"/>
      <family val="0"/>
      <b val="1"/>
      <color rgb="FF065F46"/>
      <sz val="9"/>
    </font>
    <font>
      <name val="Arial"/>
      <charset val="1"/>
      <family val="0"/>
      <b val="1"/>
      <color rgb="FFB45309"/>
      <sz val="9"/>
    </font>
    <font>
      <name val="Arial"/>
      <charset val="1"/>
      <family val="0"/>
      <b val="1"/>
      <color rgb="FF92400E"/>
      <sz val="9"/>
    </font>
    <font>
      <name val="Arial"/>
      <charset val="1"/>
      <family val="0"/>
      <b val="1"/>
      <color rgb="FF1D4ED8"/>
      <sz val="9"/>
    </font>
    <font>
      <name val="Arial"/>
      <charset val="1"/>
      <family val="0"/>
      <b val="1"/>
      <color rgb="FF475569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sz val="10"/>
    </font>
  </fonts>
  <fills count="22">
    <fill>
      <patternFill/>
    </fill>
    <fill>
      <patternFill patternType="gray125"/>
    </fill>
    <fill>
      <patternFill patternType="solid">
        <fgColor rgb="FF0F1117"/>
        <bgColor rgb="FF1A1D27"/>
      </patternFill>
    </fill>
    <fill>
      <patternFill patternType="solid">
        <fgColor rgb="FF1A1D27"/>
        <bgColor rgb="FF1E293B"/>
      </patternFill>
    </fill>
    <fill>
      <patternFill patternType="solid">
        <fgColor rgb="FF1E293B"/>
        <bgColor rgb="FF1A1D27"/>
      </patternFill>
    </fill>
    <fill>
      <patternFill patternType="solid">
        <fgColor rgb="FF92400E"/>
        <bgColor rgb="FF78350F"/>
      </patternFill>
    </fill>
    <fill>
      <patternFill patternType="solid">
        <fgColor rgb="FF1E40AF"/>
        <bgColor rgb="FF1D4ED8"/>
      </patternFill>
    </fill>
    <fill>
      <patternFill patternType="solid">
        <fgColor rgb="FF065F46"/>
        <bgColor rgb="FF14532D"/>
      </patternFill>
    </fill>
    <fill>
      <patternFill patternType="solid">
        <fgColor rgb="FF991B1B"/>
        <bgColor rgb="FF7F1D1D"/>
      </patternFill>
    </fill>
    <fill>
      <patternFill patternType="solid">
        <fgColor rgb="FF1D4ED8"/>
        <bgColor rgb="FF1E40AF"/>
      </patternFill>
    </fill>
    <fill>
      <patternFill patternType="solid">
        <fgColor rgb="FFF1F5F9"/>
        <bgColor rgb="FFF8FAFC"/>
      </patternFill>
    </fill>
    <fill>
      <patternFill patternType="solid">
        <fgColor rgb="FF334155"/>
        <bgColor rgb="FF1E3A5F"/>
      </patternFill>
    </fill>
    <fill>
      <patternFill patternType="solid">
        <fgColor rgb="FF7F1D1D"/>
        <bgColor rgb="FF991B1B"/>
      </patternFill>
    </fill>
    <fill>
      <patternFill patternType="solid">
        <fgColor rgb="FF78350F"/>
        <bgColor rgb="FF92400E"/>
      </patternFill>
    </fill>
    <fill>
      <patternFill patternType="solid">
        <fgColor rgb="FF14532D"/>
        <bgColor rgb="FF065F46"/>
      </patternFill>
    </fill>
    <fill>
      <patternFill patternType="solid">
        <fgColor rgb="FF1E3A5F"/>
        <bgColor rgb="FF334155"/>
      </patternFill>
    </fill>
    <fill>
      <patternFill patternType="solid">
        <fgColor rgb="FF2E1065"/>
        <bgColor rgb="FF1E293B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E2E8F0"/>
      </patternFill>
    </fill>
    <fill>
      <patternFill patternType="solid">
        <fgColor rgb="FFD1FAE5"/>
        <bgColor rgb="FFDBEAFE"/>
      </patternFill>
    </fill>
    <fill>
      <patternFill patternType="solid">
        <fgColor rgb="FFFEE2E2"/>
        <bgColor rgb="FFFEF3C7"/>
      </patternFill>
    </fill>
    <fill>
      <patternFill patternType="solid">
        <fgColor rgb="FFF8FAFC"/>
        <bgColor rgb="FFFFFFFF"/>
      </patternFill>
    </fill>
  </fills>
  <borders count="9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9" fontId="7" fillId="10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center" vertical="center" wrapText="1"/>
    </xf>
    <xf numFmtId="0" fontId="14" fillId="2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8" fillId="10" borderId="3" applyAlignment="1" pivotButton="0" quotePrefix="0" xfId="0">
      <alignment horizontal="center" vertical="center" wrapText="1"/>
    </xf>
    <xf numFmtId="0" fontId="6" fillId="12" borderId="3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 wrapText="1"/>
    </xf>
    <xf numFmtId="0" fontId="20" fillId="0" borderId="3" applyAlignment="1" pivotButton="0" quotePrefix="0" xfId="0">
      <alignment horizontal="center" vertical="center" wrapText="1"/>
    </xf>
    <xf numFmtId="0" fontId="19" fillId="21" borderId="3" applyAlignment="1" pivotButton="0" quotePrefix="0" xfId="0">
      <alignment horizontal="left" vertical="center" wrapText="1"/>
    </xf>
    <xf numFmtId="0" fontId="21" fillId="19" borderId="3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3" fillId="17" borderId="3" applyAlignment="1" pivotButton="0" quotePrefix="0" xfId="0">
      <alignment horizontal="center" vertical="center" wrapText="1"/>
    </xf>
    <xf numFmtId="0" fontId="6" fillId="14" borderId="3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6" fillId="15" borderId="3" applyAlignment="1" pivotButton="0" quotePrefix="0" xfId="0">
      <alignment horizontal="center" vertical="center" wrapText="1"/>
    </xf>
    <xf numFmtId="0" fontId="6" fillId="16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27" fillId="21" borderId="3" applyAlignment="1" pivotButton="0" quotePrefix="0" xfId="0">
      <alignment horizontal="left" vertical="center" wrapText="1"/>
    </xf>
    <xf numFmtId="0" fontId="27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general" vertical="bottom"/>
    </xf>
    <xf numFmtId="0" fontId="0" fillId="21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9" fontId="7" fillId="10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center" vertical="center" wrapText="1"/>
    </xf>
    <xf numFmtId="0" fontId="14" fillId="2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8" fillId="10" borderId="3" applyAlignment="1" pivotButton="0" quotePrefix="0" xfId="0">
      <alignment horizontal="center" vertical="center" wrapText="1"/>
    </xf>
    <xf numFmtId="0" fontId="6" fillId="12" borderId="3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 wrapText="1"/>
    </xf>
    <xf numFmtId="0" fontId="20" fillId="0" borderId="3" applyAlignment="1" pivotButton="0" quotePrefix="0" xfId="0">
      <alignment horizontal="center" vertical="center" wrapText="1"/>
    </xf>
    <xf numFmtId="0" fontId="19" fillId="21" borderId="3" applyAlignment="1" pivotButton="0" quotePrefix="0" xfId="0">
      <alignment horizontal="left" vertical="center" wrapText="1"/>
    </xf>
    <xf numFmtId="0" fontId="21" fillId="19" borderId="3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3" fillId="17" borderId="3" applyAlignment="1" pivotButton="0" quotePrefix="0" xfId="0">
      <alignment horizontal="center" vertical="center" wrapText="1"/>
    </xf>
    <xf numFmtId="0" fontId="6" fillId="14" borderId="3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6" fillId="15" borderId="3" applyAlignment="1" pivotButton="0" quotePrefix="0" xfId="0">
      <alignment horizontal="center" vertical="center" wrapText="1"/>
    </xf>
    <xf numFmtId="0" fontId="6" fillId="16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 vertical="center" wrapText="1"/>
    </xf>
    <xf numFmtId="0" fontId="18" fillId="10" borderId="3" applyAlignment="1" pivotButton="0" quotePrefix="0" xfId="0">
      <alignment horizontal="center" vertical="center" wrapText="1"/>
    </xf>
    <xf numFmtId="0" fontId="6" fillId="16" borderId="3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 wrapText="1"/>
    </xf>
    <xf numFmtId="0" fontId="25" fillId="0" borderId="3" applyAlignment="1" pivotButton="0" quotePrefix="0" xfId="0">
      <alignment horizontal="center" vertical="center" wrapText="1"/>
    </xf>
    <xf numFmtId="0" fontId="23" fillId="17" borderId="3" applyAlignment="1" pivotButton="0" quotePrefix="0" xfId="0">
      <alignment horizontal="center" vertical="center" wrapText="1"/>
    </xf>
    <xf numFmtId="0" fontId="6" fillId="12" borderId="3" applyAlignment="1" pivotButton="0" quotePrefix="0" xfId="0">
      <alignment horizontal="center" vertical="center" wrapText="1"/>
    </xf>
    <xf numFmtId="0" fontId="20" fillId="0" borderId="3" applyAlignment="1" pivotButton="0" quotePrefix="0" xfId="0">
      <alignment horizontal="center" vertical="center" wrapText="1"/>
    </xf>
    <xf numFmtId="0" fontId="19" fillId="21" borderId="3" applyAlignment="1" pivotButton="0" quotePrefix="0" xfId="0">
      <alignment horizontal="left" vertical="center" wrapText="1"/>
    </xf>
    <xf numFmtId="0" fontId="21" fillId="19" borderId="3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27" fillId="21" borderId="3" applyAlignment="1" pivotButton="0" quotePrefix="0" xfId="0">
      <alignment horizontal="left" vertical="center" wrapText="1"/>
    </xf>
    <xf numFmtId="0" fontId="27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general" vertical="bottom"/>
    </xf>
    <xf numFmtId="0" fontId="0" fillId="21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9">
    <dxf>
      <fill>
        <patternFill patternType="solid">
          <fgColor rgb="FF1E293B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4532D"/>
          <bgColor rgb="FF000000"/>
        </patternFill>
      </fill>
    </dxf>
    <dxf>
      <fill>
        <patternFill patternType="solid">
          <fgColor rgb="FF1E3A5F"/>
          <bgColor rgb="FF000000"/>
        </patternFill>
      </fill>
    </dxf>
    <dxf>
      <fill>
        <patternFill patternType="solid">
          <fgColor rgb="FF2E1065"/>
          <bgColor rgb="FF000000"/>
        </patternFill>
      </fill>
    </dxf>
    <dxf>
      <fill>
        <patternFill patternType="solid">
          <fgColor rgb="FF78350F"/>
          <bgColor rgb="FF000000"/>
        </patternFill>
      </fill>
    </dxf>
    <dxf>
      <fill>
        <patternFill patternType="solid">
          <fgColor rgb="FF7F1D1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1117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475569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92400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14532D"/>
      <rgbColor rgb="FF2E1065"/>
      <rgbColor rgb="FF808000"/>
      <rgbColor rgb="FF800080"/>
      <rgbColor rgb="FF065F46"/>
      <rgbColor rgb="FFE2E8F0"/>
      <rgbColor rgb="FF475569"/>
      <rgbColor rgb="FF9999FF"/>
      <rgbColor rgb="FF78350F"/>
      <rgbColor rgb="FFFEF3C7"/>
      <rgbColor rgb="FFDBEAFE"/>
      <rgbColor rgb="FF334155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991B1B"/>
      <rgbColor rgb="FF008080"/>
      <rgbColor rgb="FF0000FF"/>
      <rgbColor rgb="FF00CCFF"/>
      <rgbColor rgb="FFF1F5F9"/>
      <rgbColor rgb="FFD1FAE5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1E3A5F"/>
      <rgbColor rgb="FF339966"/>
      <rgbColor rgb="FF0F1117"/>
      <rgbColor rgb="FF1A1D27"/>
      <rgbColor rgb="FF92400E"/>
      <rgbColor rgb="FFB45309"/>
      <rgbColor rgb="FF1E40AF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51" min="1" max="1"/>
    <col width="36" customWidth="1" style="51" min="2" max="2"/>
    <col width="10" customWidth="1" style="51" min="3" max="3"/>
    <col width="12" customWidth="1" style="51" min="4" max="5"/>
    <col width="10" customWidth="1" style="51" min="6" max="6"/>
    <col width="12" customWidth="1" style="51" min="7" max="7"/>
    <col width="10" customWidth="1" style="51" min="8" max="10"/>
  </cols>
  <sheetData>
    <row r="1" ht="39.75" customHeight="1" s="52">
      <c r="A1" s="53" t="inlineStr">
        <is>
          <t>PERMATEL — SUIVI DES TÂCHES</t>
        </is>
      </c>
    </row>
    <row r="2" ht="19.5" customHeight="1" s="52">
      <c r="A2" s="54" t="inlineStr">
        <is>
          <t>Plan d'action · Audit du 2026-05-10 · Dernière mise à jour : 2026-08-14 (Phase 6 ERP livrée — fondations transverses)</t>
        </is>
      </c>
    </row>
    <row r="3" ht="9.75" customHeight="1" s="52"/>
    <row r="4" ht="27.75" customHeight="1" s="52">
      <c r="A4" s="55" t="inlineStr">
        <is>
          <t>Total Tâches</t>
        </is>
      </c>
      <c r="B4" s="56" t="inlineStr">
        <is>
          <t>À faire</t>
        </is>
      </c>
      <c r="C4" s="57" t="inlineStr">
        <is>
          <t>En cours</t>
        </is>
      </c>
      <c r="D4" s="58" t="inlineStr">
        <is>
          <t>Complétées</t>
        </is>
      </c>
      <c r="E4" s="59" t="inlineStr">
        <is>
          <t>Bloquées</t>
        </is>
      </c>
      <c r="G4" s="60" t="inlineStr">
        <is>
          <t>Avancement Global</t>
        </is>
      </c>
    </row>
    <row r="5" ht="49.5" customHeight="1" s="52">
      <c r="A5" s="61">
        <f>COUNTA(Tâches!A4:A200)-1</f>
        <v/>
      </c>
      <c r="B5" s="61">
        <f>COUNTIF(Tâches!G4:G200,"À faire")</f>
        <v/>
      </c>
      <c r="C5" s="61">
        <f>COUNTIF(Tâches!G4:G200,"En cours")</f>
        <v/>
      </c>
      <c r="D5" s="61">
        <f>COUNTIF(Tâches!G4:G200,"Complété")</f>
        <v/>
      </c>
      <c r="E5" s="61">
        <f>COUNTIF(Tâches!G4:G200,"Bloqué")</f>
        <v/>
      </c>
      <c r="G5" s="62">
        <f>IFERROR(D5/A5,0)</f>
        <v/>
      </c>
    </row>
    <row r="6" ht="9.75" customHeight="1" s="52"/>
    <row r="7" ht="24" customHeight="1" s="52">
      <c r="A7" s="63" t="inlineStr">
        <is>
          <t>AVANCEMENT PAR PHASE</t>
        </is>
      </c>
    </row>
    <row r="8" ht="21.75" customHeight="1" s="52">
      <c r="A8" s="64" t="inlineStr">
        <is>
          <t>Phase</t>
        </is>
      </c>
      <c r="B8" s="64" t="inlineStr">
        <is>
          <t>Description</t>
        </is>
      </c>
      <c r="C8" s="64" t="inlineStr">
        <is>
          <t>Durée</t>
        </is>
      </c>
      <c r="D8" s="64" t="inlineStr">
        <is>
          <t>Nb tâches</t>
        </is>
      </c>
      <c r="E8" s="64" t="inlineStr">
        <is>
          <t>Complétées</t>
        </is>
      </c>
      <c r="F8" s="64" t="inlineStr">
        <is>
          <t>% Phase</t>
        </is>
      </c>
    </row>
    <row r="9" ht="21.75" customHeight="1" s="52">
      <c r="A9" s="65" t="inlineStr">
        <is>
          <t>Phase 1</t>
        </is>
      </c>
      <c r="B9" s="79" t="inlineStr">
        <is>
          <t>PHASE 1 — Sécurité</t>
        </is>
      </c>
      <c r="C9" s="80" t="inlineStr">
        <is>
          <t>~2j</t>
        </is>
      </c>
      <c r="D9" s="80" t="n">
        <v>5</v>
      </c>
      <c r="E9" s="80">
        <f>COUNTIFS(Tâches!B4:B200,"Phase 1",Tâches!G4:G200,"Complété")</f>
        <v/>
      </c>
      <c r="F9" s="68">
        <f>IFERROR(E9/D9,0)</f>
        <v/>
      </c>
    </row>
    <row r="10" ht="21.75" customHeight="1" s="52">
      <c r="A10" s="69" t="inlineStr">
        <is>
          <t>Phase 2</t>
        </is>
      </c>
      <c r="B10" s="79" t="inlineStr">
        <is>
          <t>PHASE 2 — Backend complet</t>
        </is>
      </c>
      <c r="C10" s="80" t="inlineStr">
        <is>
          <t>~5j</t>
        </is>
      </c>
      <c r="D10" s="80" t="n">
        <v>5</v>
      </c>
      <c r="E10" s="80">
        <f>COUNTIFS(Tâches!B4:B200,"Phase 2",Tâches!G4:G200,"Complété")</f>
        <v/>
      </c>
      <c r="F10" s="68">
        <f>IFERROR(E10/D10,0)</f>
        <v/>
      </c>
    </row>
    <row r="11" ht="21.75" customHeight="1" s="52">
      <c r="A11" s="70" t="inlineStr">
        <is>
          <t>Phase 3</t>
        </is>
      </c>
      <c r="B11" s="79" t="inlineStr">
        <is>
          <t>PHASE 3 — Tests</t>
        </is>
      </c>
      <c r="C11" s="80" t="inlineStr">
        <is>
          <t>~4j</t>
        </is>
      </c>
      <c r="D11" s="80" t="n">
        <v>4</v>
      </c>
      <c r="E11" s="80">
        <f>COUNTIFS(Tâches!B4:B200,"Phase 3",Tâches!G4:G200,"Complété")</f>
        <v/>
      </c>
      <c r="F11" s="68">
        <f>IFERROR(E11/D11,0)</f>
        <v/>
      </c>
    </row>
    <row r="12" ht="21.75" customHeight="1" s="52">
      <c r="A12" s="71" t="inlineStr">
        <is>
          <t>Phase 4</t>
        </is>
      </c>
      <c r="B12" s="79" t="inlineStr">
        <is>
          <t>PHASE 4 — Frontend métier</t>
        </is>
      </c>
      <c r="C12" s="80" t="inlineStr">
        <is>
          <t>~10j</t>
        </is>
      </c>
      <c r="D12" s="80" t="n">
        <v>7</v>
      </c>
      <c r="E12" s="80">
        <f>COUNTIFS(Tâches!B4:B200,"Phase 4",Tâches!G4:G200,"Complété")</f>
        <v/>
      </c>
      <c r="F12" s="68">
        <f>IFERROR(E12/D12,0)</f>
        <v/>
      </c>
    </row>
    <row r="13" ht="21.75" customHeight="1" s="52">
      <c r="A13" s="78" t="inlineStr">
        <is>
          <t>Phase 5</t>
        </is>
      </c>
      <c r="B13" s="79" t="inlineStr">
        <is>
          <t>PHASE 5 — Qualité &amp; Production</t>
        </is>
      </c>
      <c r="C13" s="80" t="inlineStr">
        <is>
          <t>~2j</t>
        </is>
      </c>
      <c r="D13" s="80" t="n">
        <v>5</v>
      </c>
      <c r="E13" s="80">
        <f>COUNTIFS(Tâches!B4:B200,"Phase 5",Tâches!G4:G200,"Complété")</f>
        <v/>
      </c>
      <c r="F13" s="68">
        <f>IFERROR(E13/D13,0)</f>
        <v/>
      </c>
    </row>
    <row r="14" ht="21.75" customHeight="1" s="52">
      <c r="A14" s="78" t="inlineStr">
        <is>
          <t>Phase 6</t>
        </is>
      </c>
      <c r="B14" s="79" t="inlineStr">
        <is>
          <t>PHASE 6 — Odoo : Fondations</t>
        </is>
      </c>
      <c r="C14" s="80" t="inlineStr">
        <is>
          <t>~4j</t>
        </is>
      </c>
      <c r="D14" s="80" t="n">
        <v>10</v>
      </c>
      <c r="E14" s="80">
        <f>COUNTIFS(Tâches!B4:B200,"Phase 6",Tâches!G4:G200,"Complété")</f>
        <v/>
      </c>
      <c r="F14" s="80">
        <f>IFERROR(E14/D14,0)</f>
        <v/>
      </c>
    </row>
    <row r="15" ht="21.75" customHeight="1" s="52">
      <c r="A15" s="78" t="inlineStr">
        <is>
          <t>Phase 7</t>
        </is>
      </c>
      <c r="B15" s="79" t="inlineStr">
        <is>
          <t>PHASE 7 — Odoo : Infra + Partenaires (F1)</t>
        </is>
      </c>
      <c r="C15" s="80" t="inlineStr">
        <is>
          <t>~5j</t>
        </is>
      </c>
      <c r="D15" s="80" t="n">
        <v>5</v>
      </c>
      <c r="E15" s="80">
        <f>COUNTIFS(Tâches!B4:B200,"Phase 7",Tâches!G4:G200,"Complété")</f>
        <v/>
      </c>
      <c r="F15" s="80">
        <f>IFERROR(E15/D15,0)</f>
        <v/>
      </c>
    </row>
    <row r="16" ht="21.75" customHeight="1" s="52">
      <c r="A16" s="78" t="inlineStr">
        <is>
          <t>Phase 8</t>
        </is>
      </c>
      <c r="B16" s="79" t="inlineStr">
        <is>
          <t>PHASE 8 — Odoo : Commande → Devis/Facture (F2/F4)</t>
        </is>
      </c>
      <c r="C16" s="80" t="inlineStr">
        <is>
          <t>~3.5j</t>
        </is>
      </c>
      <c r="D16" s="80" t="n">
        <v>4</v>
      </c>
      <c r="E16" s="80">
        <f>COUNTIFS(Tâches!B4:B200,"Phase 8",Tâches!G4:G200,"Complété")</f>
        <v/>
      </c>
      <c r="F16" s="80">
        <f>IFERROR(E16/D16,0)</f>
        <v/>
      </c>
    </row>
    <row r="17" ht="21.75" customHeight="1" s="52">
      <c r="A17" s="78" t="inlineStr">
        <is>
          <t>Phase 9</t>
        </is>
      </c>
      <c r="B17" s="79" t="inlineStr">
        <is>
          <t>PHASE 9 — Odoo : Vacation → Feuille de temps (F3)</t>
        </is>
      </c>
      <c r="C17" s="80" t="inlineStr">
        <is>
          <t>~1j</t>
        </is>
      </c>
      <c r="D17" s="80" t="n">
        <v>1</v>
      </c>
      <c r="E17" s="80">
        <f>COUNTIFS(Tâches!B4:B200,"Phase 9",Tâches!G4:G200,"Complété")</f>
        <v/>
      </c>
      <c r="F17" s="80">
        <f>IFERROR(E17/D17,0)</f>
        <v/>
      </c>
    </row>
    <row r="18" ht="21.75" customHeight="1" s="52">
      <c r="A18" s="78" t="inlineStr">
        <is>
          <t>Phase 10</t>
        </is>
      </c>
      <c r="B18" s="79" t="inlineStr">
        <is>
          <t>PHASE 10 — Odoo : Planning agents (F5)</t>
        </is>
      </c>
      <c r="C18" s="80" t="inlineStr">
        <is>
          <t>~4.5j</t>
        </is>
      </c>
      <c r="D18" s="80" t="n">
        <v>3</v>
      </c>
      <c r="E18" s="80">
        <f>COUNTIFS(Tâches!B4:B200,"Phase 10",Tâches!G4:G200,"Complété")</f>
        <v/>
      </c>
      <c r="F18" s="80">
        <f>IFERROR(E18/D18,0)</f>
        <v/>
      </c>
    </row>
    <row r="19" ht="21.75" customHeight="1" s="52"/>
    <row r="20" ht="21.75" customHeight="1" s="52">
      <c r="A20" s="78" t="inlineStr">
        <is>
          <t>Phase 11</t>
        </is>
      </c>
      <c r="B20" s="79" t="inlineStr">
        <is>
          <t>PHASE 11 — Téléphonie : Fondations backend</t>
        </is>
      </c>
      <c r="C20" s="80" t="inlineStr">
        <is>
          <t>~6.5j</t>
        </is>
      </c>
      <c r="D20" s="80" t="n">
        <v>7</v>
      </c>
      <c r="E20" s="80">
        <f>COUNTIFS(Tâches!B4:B200,"Phase 11",Tâches!G4:G200,"Complété")</f>
        <v/>
      </c>
      <c r="F20" s="80">
        <f>IFERROR(E20/D20,0)</f>
        <v/>
      </c>
    </row>
    <row r="21" ht="21.75" customHeight="1" s="52">
      <c r="A21" s="78" t="inlineStr">
        <is>
          <t>Phase 11bis</t>
        </is>
      </c>
      <c r="B21" s="79" t="inlineStr">
        <is>
          <t>PHASE 11bis — Téléphonie : Infra WebSocket (Flask-SocketIO)</t>
        </is>
      </c>
      <c r="C21" s="80" t="inlineStr">
        <is>
          <t>~3j</t>
        </is>
      </c>
      <c r="D21" s="80" t="n">
        <v>4</v>
      </c>
      <c r="E21" s="80">
        <f>COUNTIFS(Tâches!B4:B200,"Phase 11bis",Tâches!G4:G200,"Complété")</f>
        <v/>
      </c>
      <c r="F21" s="80">
        <f>IFERROR(E21/D21,0)</f>
        <v/>
      </c>
    </row>
    <row r="22" ht="21.75" customHeight="1" s="52">
      <c r="A22" s="78" t="inlineStr">
        <is>
          <t>Phase 12</t>
        </is>
      </c>
      <c r="B22" s="79" t="inlineStr">
        <is>
          <t>PHASE 12 — Téléphonie : Connecteur FusionPBX (ESL)</t>
        </is>
      </c>
      <c r="C22" s="80" t="inlineStr">
        <is>
          <t>~7j</t>
        </is>
      </c>
      <c r="D22" s="80" t="n">
        <v>15</v>
      </c>
      <c r="E22" s="80">
        <f>COUNTIFS(Tâches!B4:B200,"Phase 12",Tâches!G4:G200,"Complété")</f>
        <v/>
      </c>
      <c r="F22" s="80">
        <f>IFERROR(E22/D22,0)</f>
        <v/>
      </c>
    </row>
    <row r="23" ht="21.75" customHeight="1" s="52">
      <c r="A23" s="78" t="inlineStr">
        <is>
          <t>Phase 13</t>
        </is>
      </c>
      <c r="B23" s="79" t="inlineStr">
        <is>
          <t>PHASE 13 — Téléphonie : Supervision frontend (WebSocket)</t>
        </is>
      </c>
      <c r="C23" s="80" t="inlineStr">
        <is>
          <t>~5j</t>
        </is>
      </c>
      <c r="D23" s="80" t="n">
        <v>3</v>
      </c>
      <c r="E23" s="80">
        <f>COUNTIFS(Tâches!B4:B200,"Phase 13",Tâches!G4:G200,"Complété")</f>
        <v/>
      </c>
      <c r="F23" s="80">
        <f>IFERROR(E23/D23,0)</f>
        <v/>
      </c>
    </row>
    <row r="24">
      <c r="A24" s="78" t="inlineStr">
        <is>
          <t>Phase 14</t>
        </is>
      </c>
      <c r="B24" s="79" t="inlineStr">
        <is>
          <t>PHASE 14 — Téléphonie : Webhook CDR + Rapports</t>
        </is>
      </c>
      <c r="C24" s="80" t="inlineStr">
        <is>
          <t>~2.5j</t>
        </is>
      </c>
      <c r="D24" s="80" t="n">
        <v>4</v>
      </c>
      <c r="E24" s="80">
        <f>COUNTIFS(Tâches!B4:B200,"Phase 14",Tâches!G4:G200,"Complété")</f>
        <v/>
      </c>
      <c r="F24" s="80">
        <f>IFERROR(E24/D24,0)</f>
        <v/>
      </c>
    </row>
    <row r="25">
      <c r="A25" s="51" t="inlineStr">
        <is>
          <t>Phase 15</t>
        </is>
      </c>
      <c r="B25" s="51" t="inlineStr">
        <is>
          <t>PHASE 15 — Téléphonie : Connecteur Asterisk (AMI)</t>
        </is>
      </c>
      <c r="C25" s="51" t="inlineStr">
        <is>
          <t>~2.5j</t>
        </is>
      </c>
      <c r="D25" s="51" t="n">
        <v>2</v>
      </c>
      <c r="E25" s="51">
        <f>COUNTIFS(Tâches!B4:B200,"Phase 15",Tâches!G4:G200,"Complété")</f>
        <v/>
      </c>
      <c r="F25" s="51">
        <f>IFERROR(E25/D25,0)</f>
        <v/>
      </c>
    </row>
    <row r="26">
      <c r="A26" s="51" t="inlineStr">
        <is>
          <t>Phase 16</t>
        </is>
      </c>
      <c r="B26" s="51" t="inlineStr">
        <is>
          <t>PHASE 16 — Rapports enrichis (prises de service, géoIP, filtre CDR)</t>
        </is>
      </c>
      <c r="C26" s="51" t="inlineStr">
        <is>
          <t>~2j</t>
        </is>
      </c>
      <c r="D26" s="51" t="n">
        <v>4</v>
      </c>
      <c r="E26" s="51">
        <f>COUNTIFS(Tâches!B4:B200,"Phase 16",Tâches!G4:G200,"Complété")</f>
        <v/>
      </c>
      <c r="F26" s="51">
        <f>IFERROR(E26/D26,0)</f>
        <v/>
      </c>
    </row>
    <row r="27">
      <c r="A27" s="51" t="inlineStr">
        <is>
          <t>Phase 17</t>
        </is>
      </c>
      <c r="B27" s="51" t="inlineStr">
        <is>
          <t>PHASE 17 — Profil utilisateur (self-service)</t>
        </is>
      </c>
      <c r="C27" s="51" t="inlineStr">
        <is>
          <t>~0.5j</t>
        </is>
      </c>
      <c r="D27" s="51" t="n">
        <v>1</v>
      </c>
      <c r="E27" s="51">
        <f>COUNTIFS(Tâches!B4:B200,"Phase 17",Tâches!G4:G200,"Complété")</f>
        <v/>
      </c>
      <c r="F27" s="51">
        <f>IFERROR(E27/D27,0)</f>
        <v/>
      </c>
    </row>
    <row r="28">
      <c r="A28" s="63" t="inlineStr">
        <is>
          <t>LÉGENDE — STATUTS</t>
        </is>
      </c>
    </row>
    <row r="29">
      <c r="A29" s="73" t="inlineStr">
        <is>
          <t>À faire</t>
        </is>
      </c>
      <c r="B29" s="74" t="inlineStr">
        <is>
          <t>En cours</t>
        </is>
      </c>
      <c r="C29" s="75" t="inlineStr">
        <is>
          <t>Complété</t>
        </is>
      </c>
      <c r="D29" s="76" t="inlineStr">
        <is>
          <t>Bloqué</t>
        </is>
      </c>
      <c r="E29" s="77" t="inlineStr">
        <is>
          <t>Abandonné</t>
        </is>
      </c>
    </row>
  </sheetData>
  <mergeCells count="3">
    <mergeCell ref="A1:J1"/>
    <mergeCell ref="A7:J7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1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51" min="1" max="1"/>
    <col width="14" customWidth="1" style="51" min="2" max="2"/>
    <col width="12" customWidth="1" style="51" min="3" max="3"/>
    <col width="10" customWidth="1" style="51" min="4" max="4"/>
    <col width="44" customWidth="1" style="51" min="5" max="5"/>
    <col width="52" customWidth="1" style="51" min="6" max="6"/>
    <col width="13" customWidth="1" style="51" min="7" max="7"/>
    <col width="10" customWidth="1" style="51" min="8" max="8"/>
    <col width="38" customWidth="1" style="51" min="9" max="9"/>
    <col width="12" customWidth="1" style="51" min="10" max="10"/>
    <col width="13" customWidth="1" style="51" min="11" max="12"/>
    <col width="36" customWidth="1" style="51" min="13" max="13"/>
  </cols>
  <sheetData>
    <row r="1" ht="34.5" customHeight="1" s="52">
      <c r="A1" s="81" t="inlineStr">
        <is>
          <t>REGISTRE DES TÂCHES — PERMATEL</t>
        </is>
      </c>
    </row>
    <row r="2" ht="18" customHeight="1" s="52">
      <c r="A2" s="82" t="inlineStr">
        <is>
          <t>Mettre à jour le statut et la date de complétion après chaque tâche terminée.</t>
        </is>
      </c>
    </row>
    <row r="3" ht="7.5" customHeight="1" s="52"/>
    <row r="4" ht="30" customHeight="1" s="52">
      <c r="A4" s="83" t="inlineStr">
        <is>
          <t>ID</t>
        </is>
      </c>
      <c r="B4" s="83" t="inlineStr">
        <is>
          <t>Phase</t>
        </is>
      </c>
      <c r="C4" s="83" t="inlineStr">
        <is>
          <t>Domaine</t>
        </is>
      </c>
      <c r="D4" s="83" t="inlineStr">
        <is>
          <t>Priorité</t>
        </is>
      </c>
      <c r="E4" s="83" t="inlineStr">
        <is>
          <t>Titre</t>
        </is>
      </c>
      <c r="F4" s="83" t="inlineStr">
        <is>
          <t>Description</t>
        </is>
      </c>
      <c r="G4" s="83" t="inlineStr">
        <is>
          <t>Statut</t>
        </is>
      </c>
      <c r="H4" s="83" t="inlineStr">
        <is>
          <t>Effort</t>
        </is>
      </c>
      <c r="I4" s="83" t="inlineStr">
        <is>
          <t>Fichiers impactés</t>
        </is>
      </c>
      <c r="J4" s="83" t="inlineStr">
        <is>
          <t>Dépendances</t>
        </is>
      </c>
      <c r="K4" s="83" t="inlineStr">
        <is>
          <t>Date début</t>
        </is>
      </c>
      <c r="L4" s="83" t="inlineStr">
        <is>
          <t>Date fin</t>
        </is>
      </c>
      <c r="M4" s="83" t="inlineStr">
        <is>
          <t>Notes</t>
        </is>
      </c>
    </row>
    <row r="5" ht="37.5" customHeight="1" s="52">
      <c r="A5" s="98" t="inlineStr">
        <is>
          <t>1.1</t>
        </is>
      </c>
      <c r="B5" s="103" t="inlineStr">
        <is>
          <t>Phase 1</t>
        </is>
      </c>
      <c r="C5" s="100" t="inlineStr">
        <is>
          <t>Sécurité</t>
        </is>
      </c>
      <c r="D5" s="104" t="inlineStr">
        <is>
          <t>🔴 Critique</t>
        </is>
      </c>
      <c r="E5" s="105" t="inlineStr">
        <is>
          <t>Réactiver @jwt_required() + @tenant_required() sur clients, sites, contacts</t>
        </is>
      </c>
      <c r="F5" s="105" t="inlineStr">
        <is>
          <t>Décommenter les 20 @jwt_required(), remplacer par @tenant_required(). Filtrer chaque endpoint par g.tenant.id.</t>
        </is>
      </c>
      <c r="G5" s="106" t="inlineStr">
        <is>
          <t>Complété</t>
        </is>
      </c>
      <c r="H5" s="105" t="inlineStr">
        <is>
          <t>½j</t>
        </is>
      </c>
      <c r="I5" s="105" t="inlineStr">
        <is>
          <t>routes/clients.py · sites.py · contacts.py</t>
        </is>
      </c>
      <c r="J5" s="105" t="n"/>
      <c r="K5" s="105" t="inlineStr">
        <is>
          <t>2026-05-10</t>
        </is>
      </c>
      <c r="L5" s="105" t="inlineStr">
        <is>
          <t>2026-05-10</t>
        </is>
      </c>
      <c r="M5" s="105" t="n"/>
    </row>
    <row r="6" ht="37.5" customHeight="1" s="52">
      <c r="A6" s="98" t="inlineStr">
        <is>
          <t>1.2</t>
        </is>
      </c>
      <c r="B6" s="103" t="inlineStr">
        <is>
          <t>Phase 1</t>
        </is>
      </c>
      <c r="C6" s="100" t="inlineStr">
        <is>
          <t>Sécurité</t>
        </is>
      </c>
      <c r="D6" s="104" t="inlineStr">
        <is>
          <t>🔴 Critique</t>
        </is>
      </c>
      <c r="E6" s="100" t="inlineStr">
        <is>
          <t>Appliquer @role_required() aux endpoints d'administration</t>
        </is>
      </c>
      <c r="F6" s="100" t="inlineStr">
        <is>
          <t>Tenants création/suppression = ADMIN. Users création/update role = ADMIN. Demandes clôture = MANAGER|ADMIN.</t>
        </is>
      </c>
      <c r="G6" s="106" t="inlineStr">
        <is>
          <t>Complété</t>
        </is>
      </c>
      <c r="H6" s="100" t="inlineStr">
        <is>
          <t>½j</t>
        </is>
      </c>
      <c r="I6" s="100" t="inlineStr">
        <is>
          <t>routes/tenants.py · users.py · demandes.py</t>
        </is>
      </c>
      <c r="J6" s="100" t="n"/>
      <c r="K6" s="100" t="inlineStr">
        <is>
          <t>2026-05-10</t>
        </is>
      </c>
      <c r="L6" s="100" t="inlineStr">
        <is>
          <t>2026-05-10</t>
        </is>
      </c>
      <c r="M6" s="100" t="n"/>
    </row>
    <row r="7" ht="37.5" customHeight="1" s="52">
      <c r="A7" s="98" t="inlineStr">
        <is>
          <t>1.3</t>
        </is>
      </c>
      <c r="B7" s="103" t="inlineStr">
        <is>
          <t>Phase 1</t>
        </is>
      </c>
      <c r="C7" s="100" t="inlineStr">
        <is>
          <t>Infra</t>
        </is>
      </c>
      <c r="D7" s="104" t="inlineStr">
        <is>
          <t>🔴 Critique</t>
        </is>
      </c>
      <c r="E7" s="105" t="inlineStr">
        <is>
          <t>Corriger docker-compose.yml pour utiliser des variables d'environnement</t>
        </is>
      </c>
      <c r="F7" s="105" t="inlineStr">
        <is>
          <t>Remplacer credentials et JWT_SECRET_KEY hardcodés par ${VAR}. Créer .env.example documenté.</t>
        </is>
      </c>
      <c r="G7" s="106" t="inlineStr">
        <is>
          <t>Complété</t>
        </is>
      </c>
      <c r="H7" s="105" t="inlineStr">
        <is>
          <t>2h</t>
        </is>
      </c>
      <c r="I7" s="105" t="inlineStr">
        <is>
          <t>docker-compose.yml · .env.example (nouveau)</t>
        </is>
      </c>
      <c r="J7" s="105" t="n"/>
      <c r="K7" s="105" t="inlineStr">
        <is>
          <t>2026-05-10</t>
        </is>
      </c>
      <c r="L7" s="105" t="inlineStr">
        <is>
          <t>2026-05-10</t>
        </is>
      </c>
      <c r="M7" s="105" t="n"/>
    </row>
    <row r="8" ht="37.5" customHeight="1" s="52">
      <c r="A8" s="98" t="inlineStr">
        <is>
          <t>1.4</t>
        </is>
      </c>
      <c r="B8" s="103" t="inlineStr">
        <is>
          <t>Phase 1</t>
        </is>
      </c>
      <c r="C8" s="100" t="inlineStr">
        <is>
          <t>Frontend</t>
        </is>
      </c>
      <c r="D8" s="104" t="inlineStr">
        <is>
          <t>🔴 Critique</t>
        </is>
      </c>
      <c r="E8" s="100" t="inlineStr">
        <is>
          <t>Brancher la guard de navigation Vue Router sur le store Pinia</t>
        </is>
      </c>
      <c r="F8" s="100" t="inlineStr">
        <is>
          <t>Remplacer isAuthenticated=false par authStore.isAuthenticated. Gérer redirect returnUrl.</t>
        </is>
      </c>
      <c r="G8" s="106" t="inlineStr">
        <is>
          <t>Complété</t>
        </is>
      </c>
      <c r="H8" s="100" t="inlineStr">
        <is>
          <t>2h</t>
        </is>
      </c>
      <c r="I8" s="100" t="inlineStr">
        <is>
          <t>frontend/src/router/index.js</t>
        </is>
      </c>
      <c r="J8" s="100" t="n"/>
      <c r="K8" s="100" t="inlineStr">
        <is>
          <t>2026-05-10</t>
        </is>
      </c>
      <c r="L8" s="100" t="inlineStr">
        <is>
          <t>2026-05-10</t>
        </is>
      </c>
      <c r="M8" s="100" t="n"/>
    </row>
    <row r="9" ht="37.5" customHeight="1" s="52">
      <c r="A9" s="98" t="inlineStr">
        <is>
          <t>1.5</t>
        </is>
      </c>
      <c r="B9" s="103" t="inlineStr">
        <is>
          <t>Phase 1</t>
        </is>
      </c>
      <c r="C9" s="100" t="inlineStr">
        <is>
          <t>Frontend</t>
        </is>
      </c>
      <c r="D9" s="104" t="inlineStr">
        <is>
          <t>🔴 Critique</t>
        </is>
      </c>
      <c r="E9" s="105" t="inlineStr">
        <is>
          <t>Ajouter l'intercepteur de refresh automatique des tokens</t>
        </is>
      </c>
      <c r="F9" s="105" t="inlineStr">
        <is>
          <t>Sur 401: appeler /api/auth/refresh, mettre à jour store, rejouer requête. Si refresh échoue: logout + redirect /login.</t>
        </is>
      </c>
      <c r="G9" s="106" t="inlineStr">
        <is>
          <t>Complété</t>
        </is>
      </c>
      <c r="H9" s="105" t="inlineStr">
        <is>
          <t>½j</t>
        </is>
      </c>
      <c r="I9" s="105" t="inlineStr">
        <is>
          <t>services/http/interceptor.js · store/auth.js</t>
        </is>
      </c>
      <c r="J9" s="105" t="inlineStr">
        <is>
          <t>1.4</t>
        </is>
      </c>
      <c r="K9" s="105" t="inlineStr">
        <is>
          <t>2026-05-10</t>
        </is>
      </c>
      <c r="L9" s="105" t="inlineStr">
        <is>
          <t>2026-05-10</t>
        </is>
      </c>
      <c r="M9" s="105" t="n"/>
    </row>
    <row r="10" ht="37.5" customHeight="1" s="52">
      <c r="A10" s="98" t="inlineStr">
        <is>
          <t>2.1</t>
        </is>
      </c>
      <c r="B10" s="90" t="inlineStr">
        <is>
          <t>Phase 2</t>
        </is>
      </c>
      <c r="C10" s="100" t="inlineStr">
        <is>
          <t>Backend</t>
        </is>
      </c>
      <c r="D10" s="91" t="inlineStr">
        <is>
          <t>🟡 Haute</t>
        </is>
      </c>
      <c r="E10" s="100" t="inlineStr">
        <is>
          <t>Réactiver et compléter le blueprint Prestataires</t>
        </is>
      </c>
      <c r="F10" s="100" t="inlineStr">
        <is>
          <t>Décommenter dans __init__.py. Écrire CRUD complet avec @tenant_required(). Prérequis pour 2.2.</t>
        </is>
      </c>
      <c r="G10" s="102" t="inlineStr">
        <is>
          <t>Complété</t>
        </is>
      </c>
      <c r="H10" s="100" t="inlineStr">
        <is>
          <t>1j</t>
        </is>
      </c>
      <c r="I10" s="100" t="inlineStr">
        <is>
          <t>routes/prestataires.py · app/__init__.py</t>
        </is>
      </c>
      <c r="J10" s="100" t="n"/>
      <c r="K10" s="100" t="n"/>
      <c r="L10" s="100" t="n"/>
      <c r="M10" s="100" t="inlineStr">
        <is>
          <t>[Audit 14/08] déjà implémenté (routes réellement enregistrées dans app/__init__.py / flow select-tenant en place côté frontend) — dates de complétion non tracées à l'époque.</t>
        </is>
      </c>
    </row>
    <row r="11" ht="37.5" customHeight="1" s="52">
      <c r="A11" s="98" t="inlineStr">
        <is>
          <t>2.2</t>
        </is>
      </c>
      <c r="B11" s="90" t="inlineStr">
        <is>
          <t>Phase 2</t>
        </is>
      </c>
      <c r="C11" s="100" t="inlineStr">
        <is>
          <t>Backend</t>
        </is>
      </c>
      <c r="D11" s="91" t="inlineStr">
        <is>
          <t>🟡 Haute</t>
        </is>
      </c>
      <c r="E11" s="105" t="inlineStr">
        <is>
          <t>Créer les routes Agents de sécurité</t>
        </is>
      </c>
      <c r="F11" s="105" t="inlineStr">
        <is>
          <t>Blueprint /api/agents-securite. CRUD + filtrage tenant. Recherche par matricule. Dépend de 2.1.</t>
        </is>
      </c>
      <c r="G11" s="102" t="inlineStr">
        <is>
          <t>Complété</t>
        </is>
      </c>
      <c r="H11" s="105" t="inlineStr">
        <is>
          <t>1j</t>
        </is>
      </c>
      <c r="I11" s="105" t="inlineStr">
        <is>
          <t>routes/agents_securite.py (nouveau) · app/__init__.py</t>
        </is>
      </c>
      <c r="J11" s="105" t="inlineStr">
        <is>
          <t>2.1</t>
        </is>
      </c>
      <c r="K11" s="105" t="n"/>
      <c r="L11" s="105" t="n"/>
      <c r="M11" s="105" t="inlineStr">
        <is>
          <t>[Audit 14/08] déjà implémenté (routes réellement enregistrées dans app/__init__.py / flow select-tenant en place côté frontend) — dates de complétion non tracées à l'époque.</t>
        </is>
      </c>
    </row>
    <row r="12" ht="37.5" customHeight="1" s="52">
      <c r="A12" s="98" t="inlineStr">
        <is>
          <t>2.3</t>
        </is>
      </c>
      <c r="B12" s="90" t="inlineStr">
        <is>
          <t>Phase 2</t>
        </is>
      </c>
      <c r="C12" s="100" t="inlineStr">
        <is>
          <t>Backend</t>
        </is>
      </c>
      <c r="D12" s="91" t="inlineStr">
        <is>
          <t>🟡 Haute</t>
        </is>
      </c>
      <c r="E12" s="100" t="inlineStr">
        <is>
          <t>Créer les routes Interactions (sous-ressource de Demandes)</t>
        </is>
      </c>
      <c r="F12" s="100" t="inlineStr">
        <is>
          <t>GET /api/demandes/{id}/interactions, POST création. Si type=CHANGEMENT_STATUT, mettre à jour statut demande.</t>
        </is>
      </c>
      <c r="G12" s="102" t="inlineStr">
        <is>
          <t>Complété</t>
        </is>
      </c>
      <c r="H12" s="100" t="inlineStr">
        <is>
          <t>1j</t>
        </is>
      </c>
      <c r="I12" s="100" t="inlineStr">
        <is>
          <t>routes/demandes.py ou interactions.py (nouveau)</t>
        </is>
      </c>
      <c r="J12" s="100" t="n"/>
      <c r="K12" s="100" t="n"/>
      <c r="L12" s="100" t="n"/>
      <c r="M12" s="100" t="inlineStr">
        <is>
          <t>[Audit 14/08] déjà implémenté (routes réellement enregistrées dans app/__init__.py / flow select-tenant en place côté frontend) — dates de complétion non tracées à l'époque.</t>
        </is>
      </c>
    </row>
    <row r="13" ht="37.5" customHeight="1" s="52">
      <c r="A13" s="98" t="inlineStr">
        <is>
          <t>2.4</t>
        </is>
      </c>
      <c r="B13" s="90" t="inlineStr">
        <is>
          <t>Phase 2</t>
        </is>
      </c>
      <c r="C13" s="100" t="inlineStr">
        <is>
          <t>Backend</t>
        </is>
      </c>
      <c r="D13" s="91" t="inlineStr">
        <is>
          <t>🟡 Haute</t>
        </is>
      </c>
      <c r="E13" s="105" t="inlineStr">
        <is>
          <t>Créer les routes Fichiers (upload/download)</t>
        </is>
      </c>
      <c r="F13" s="105" t="inlineStr">
        <is>
          <t>POST upload multipart, GET liste, GET download. Chemin isolé par tenant. Validation type MIME + taille max.</t>
        </is>
      </c>
      <c r="G13" s="102" t="inlineStr">
        <is>
          <t>Complété</t>
        </is>
      </c>
      <c r="H13" s="105" t="inlineStr">
        <is>
          <t>1j</t>
        </is>
      </c>
      <c r="I13" s="105" t="inlineStr">
        <is>
          <t>routes/fichiers.py (nouveau) · app/__init__.py</t>
        </is>
      </c>
      <c r="J13" s="105" t="n"/>
      <c r="K13" s="105" t="n"/>
      <c r="L13" s="105" t="n"/>
      <c r="M13" s="105" t="inlineStr">
        <is>
          <t>[Audit 14/08] déjà implémenté (routes réellement enregistrées dans app/__init__.py / flow select-tenant en place côté frontend) — dates de complétion non tracées à l'époque.</t>
        </is>
      </c>
    </row>
    <row r="14" ht="37.5" customHeight="1" s="52">
      <c r="A14" s="98" t="inlineStr">
        <is>
          <t>2.5</t>
        </is>
      </c>
      <c r="B14" s="90" t="inlineStr">
        <is>
          <t>Phase 2</t>
        </is>
      </c>
      <c r="C14" s="100" t="inlineStr">
        <is>
          <t>Frontend</t>
        </is>
      </c>
      <c r="D14" s="91" t="inlineStr">
        <is>
          <t>🟡 Haute</t>
        </is>
      </c>
      <c r="E14" s="100" t="inlineStr">
        <is>
          <t>Implémenter le flow select-tenant côté frontend</t>
        </is>
      </c>
      <c r="F14" s="100" t="inlineStr">
        <is>
          <t>Après login si tenants.length &gt; 1: afficher modale. Appeler /api/auth/select-tenant. Stocker tid dans store.</t>
        </is>
      </c>
      <c r="G14" s="102" t="inlineStr">
        <is>
          <t>Complété</t>
        </is>
      </c>
      <c r="H14" s="100" t="inlineStr">
        <is>
          <t>½j</t>
        </is>
      </c>
      <c r="I14" s="100" t="inlineStr">
        <is>
          <t>store/auth.js · views/TenantSelectView.vue (nouveau)</t>
        </is>
      </c>
      <c r="J14" s="100" t="inlineStr">
        <is>
          <t>1.4</t>
        </is>
      </c>
      <c r="K14" s="100" t="n"/>
      <c r="L14" s="100" t="n"/>
      <c r="M14" s="100" t="inlineStr">
        <is>
          <t>[Audit 14/08] déjà implémenté (routes réellement enregistrées dans app/__init__.py / flow select-tenant en place côté frontend) — dates de complétion non tracées à l'époque.</t>
        </is>
      </c>
    </row>
    <row r="15" ht="37.5" customHeight="1" s="52">
      <c r="A15" s="98" t="inlineStr">
        <is>
          <t>3.1</t>
        </is>
      </c>
      <c r="B15" s="93" t="inlineStr">
        <is>
          <t>Phase 3</t>
        </is>
      </c>
      <c r="C15" s="100" t="inlineStr">
        <is>
          <t>Tests</t>
        </is>
      </c>
      <c r="D15" s="94" t="inlineStr">
        <is>
          <t>🟢 Normale</t>
        </is>
      </c>
      <c r="E15" s="105" t="inlineStr">
        <is>
          <t>Tests Auth — login, logout, refresh</t>
        </is>
      </c>
      <c r="F15" s="105" t="inlineStr">
        <is>
          <t>Login OK/KO/inactif/sans tenant. Logout révocation. Double logout. Refresh OK/inactivité/révoqué.</t>
        </is>
      </c>
      <c r="G15" s="102" t="inlineStr">
        <is>
          <t>Complété</t>
        </is>
      </c>
      <c r="H15" s="105" t="inlineStr">
        <is>
          <t>1j</t>
        </is>
      </c>
      <c r="I15" s="105" t="inlineStr">
        <is>
          <t>tests/test_auth_login.py · test_auth_logout.py · test_auth_refresh.py</t>
        </is>
      </c>
      <c r="J15" s="105" t="n"/>
      <c r="K15" s="105" t="n"/>
      <c r="L15" s="105" t="n"/>
      <c r="M15" s="105" t="inlineStr">
        <is>
          <t>[Audit 14/08] fichiers de tests existent et sont complets (test_auth_login.py, test_auth_logout.py, test_auth_refresh.py, test_clients.py, test_users.py, test_demandes.py, etc. — 394 tests backend au total).</t>
        </is>
      </c>
    </row>
    <row r="16" ht="37.5" customHeight="1" s="52">
      <c r="A16" s="98" t="inlineStr">
        <is>
          <t>3.2</t>
        </is>
      </c>
      <c r="B16" s="93" t="inlineStr">
        <is>
          <t>Phase 3</t>
        </is>
      </c>
      <c r="C16" s="100" t="inlineStr">
        <is>
          <t>Tests</t>
        </is>
      </c>
      <c r="D16" s="94" t="inlineStr">
        <is>
          <t>🟢 Normale</t>
        </is>
      </c>
      <c r="E16" s="100" t="inlineStr">
        <is>
          <t>Tests Clients, Sites, Contacts</t>
        </is>
      </c>
      <c r="F16" s="100" t="inlineStr">
        <is>
          <t>Pour chaque: list, get, create, update, deactivate. Tester isolation tenant A vs B.</t>
        </is>
      </c>
      <c r="G16" s="102" t="inlineStr">
        <is>
          <t>Complété</t>
        </is>
      </c>
      <c r="H16" s="100" t="inlineStr">
        <is>
          <t>1j</t>
        </is>
      </c>
      <c r="I16" s="100" t="inlineStr">
        <is>
          <t>tests/test_clients.py · test_sites.py · test_contacts.py</t>
        </is>
      </c>
      <c r="J16" s="100" t="inlineStr">
        <is>
          <t>1.1</t>
        </is>
      </c>
      <c r="K16" s="100" t="n"/>
      <c r="L16" s="100" t="n"/>
      <c r="M16" s="100" t="inlineStr">
        <is>
          <t>[Audit 14/08] fichiers de tests existent et sont complets (test_auth_login.py, test_auth_logout.py, test_auth_refresh.py, test_clients.py, test_users.py, test_demandes.py, etc. — 394 tests backend au total).</t>
        </is>
      </c>
    </row>
    <row r="17" ht="37.5" customHeight="1" s="52">
      <c r="A17" s="98" t="inlineStr">
        <is>
          <t>3.3</t>
        </is>
      </c>
      <c r="B17" s="93" t="inlineStr">
        <is>
          <t>Phase 3</t>
        </is>
      </c>
      <c r="C17" s="100" t="inlineStr">
        <is>
          <t>Tests</t>
        </is>
      </c>
      <c r="D17" s="94" t="inlineStr">
        <is>
          <t>🟢 Normale</t>
        </is>
      </c>
      <c r="E17" s="105" t="inlineStr">
        <is>
          <t>Tests Users &amp; Demandes</t>
        </is>
      </c>
      <c r="F17" s="105" t="inlineStr">
        <is>
          <t>Users: CRUD + restriction rôle. Demandes: 4 types, changement statut, assignation, clôture.</t>
        </is>
      </c>
      <c r="G17" s="102" t="inlineStr">
        <is>
          <t>Complété</t>
        </is>
      </c>
      <c r="H17" s="105" t="inlineStr">
        <is>
          <t>1j</t>
        </is>
      </c>
      <c r="I17" s="105" t="inlineStr">
        <is>
          <t>tests/test_users.py · test_demandes.py</t>
        </is>
      </c>
      <c r="J17" s="105" t="n"/>
      <c r="K17" s="105" t="n"/>
      <c r="L17" s="105" t="n"/>
      <c r="M17" s="105" t="inlineStr">
        <is>
          <t>[Audit 14/08] fichiers de tests existent et sont complets (test_auth_login.py, test_auth_logout.py, test_auth_refresh.py, test_clients.py, test_users.py, test_demandes.py, etc. — 394 tests backend au total).</t>
        </is>
      </c>
    </row>
    <row r="18" ht="37.5" customHeight="1" s="52">
      <c r="A18" s="98" t="inlineStr">
        <is>
          <t>3.4</t>
        </is>
      </c>
      <c r="B18" s="93" t="inlineStr">
        <is>
          <t>Phase 3</t>
        </is>
      </c>
      <c r="C18" s="100" t="inlineStr">
        <is>
          <t>Tests</t>
        </is>
      </c>
      <c r="D18" s="94" t="inlineStr">
        <is>
          <t>🟢 Normale</t>
        </is>
      </c>
      <c r="E18" s="100" t="inlineStr">
        <is>
          <t>Tests Interactions &amp; Fichiers</t>
        </is>
      </c>
      <c r="F18" s="100" t="inlineStr">
        <is>
          <t>Interactions: création + changement statut auto. Fichiers: upload/download, MIME, isolation tenant.</t>
        </is>
      </c>
      <c r="G18" s="102" t="inlineStr">
        <is>
          <t>Complété</t>
        </is>
      </c>
      <c r="H18" s="100" t="inlineStr">
        <is>
          <t>1j</t>
        </is>
      </c>
      <c r="I18" s="100" t="inlineStr">
        <is>
          <t>tests/test_interactions.py · test_fichiers.py (nouveaux)</t>
        </is>
      </c>
      <c r="J18" s="100" t="inlineStr">
        <is>
          <t>2.3</t>
        </is>
      </c>
      <c r="K18" s="100" t="n"/>
      <c r="L18" s="100" t="n"/>
      <c r="M18" s="100" t="inlineStr">
        <is>
          <t>[Audit 14/08] fichiers de tests existent et sont complets (test_auth_login.py, test_auth_logout.py, test_auth_refresh.py, test_clients.py, test_users.py, test_demandes.py, etc. — 394 tests backend au total).</t>
        </is>
      </c>
    </row>
    <row r="19" ht="37.5" customHeight="1" s="52">
      <c r="A19" s="98" t="inlineStr">
        <is>
          <t>4.1</t>
        </is>
      </c>
      <c r="B19" s="95" t="inlineStr">
        <is>
          <t>Phase 4</t>
        </is>
      </c>
      <c r="C19" s="100" t="inlineStr">
        <is>
          <t>Frontend</t>
        </is>
      </c>
      <c r="D19" s="94" t="inlineStr">
        <is>
          <t>🔵 Normale</t>
        </is>
      </c>
      <c r="E19" s="105" t="inlineStr">
        <is>
          <t>Services API génériques (clients, sites, contacts, demandes, users)</t>
        </is>
      </c>
      <c r="F19" s="105" t="inlineStr">
        <is>
          <t>Un fichier service par ressource sur le modèle authService.js. Pas de fetch direct dans les composants.</t>
        </is>
      </c>
      <c r="G19" s="102" t="inlineStr">
        <is>
          <t>Complété</t>
        </is>
      </c>
      <c r="H19" s="105" t="inlineStr">
        <is>
          <t>½j</t>
        </is>
      </c>
      <c r="I19" s="105" t="inlineStr">
        <is>
          <t>frontend/src/services/*.js (nouveaux)</t>
        </is>
      </c>
      <c r="J19" s="105" t="inlineStr">
        <is>
          <t>1.1</t>
        </is>
      </c>
      <c r="K19" s="105" t="n"/>
      <c r="L19" s="105" t="n"/>
      <c r="M19" s="105" t="inlineStr">
        <is>
          <t>[Audit 14/08] frontend intégralement livré, architecturé différemment du plan initial (pas de vue DemandesView.vue unique : IssuesView/OrdersView/ShiftsView par type de demande + Workspace pour la création ; navigation réelle = Menu2.vue, pas Navigation.vue, orpheline).</t>
        </is>
      </c>
    </row>
    <row r="20" ht="37.5" customHeight="1" s="52">
      <c r="A20" s="98" t="inlineStr">
        <is>
          <t>4.2</t>
        </is>
      </c>
      <c r="B20" s="95" t="inlineStr">
        <is>
          <t>Phase 4</t>
        </is>
      </c>
      <c r="C20" s="100" t="inlineStr">
        <is>
          <t>Frontend</t>
        </is>
      </c>
      <c r="D20" s="94" t="inlineStr">
        <is>
          <t>🔵 Normale</t>
        </is>
      </c>
      <c r="E20" s="100" t="inlineStr">
        <is>
          <t>Vue Clients — liste, détail, formulaire</t>
        </is>
      </c>
      <c r="F20" s="100" t="inlineStr">
        <is>
          <t>v-data-table avec recherche/pagination. Formulaire dans dialog. Afficher sites rattachés. Routes /clients, /clients/:id.</t>
        </is>
      </c>
      <c r="G20" s="102" t="inlineStr">
        <is>
          <t>Complété</t>
        </is>
      </c>
      <c r="H20" s="100" t="inlineStr">
        <is>
          <t>1.5j</t>
        </is>
      </c>
      <c r="I20" s="100" t="inlineStr">
        <is>
          <t>views/ClientsView.vue · ClientDetailView.vue · router/index.js</t>
        </is>
      </c>
      <c r="J20" s="100" t="inlineStr">
        <is>
          <t>4.1</t>
        </is>
      </c>
      <c r="K20" s="100" t="n"/>
      <c r="L20" s="100" t="n"/>
      <c r="M20" s="100" t="inlineStr">
        <is>
          <t>[Audit 14/08] frontend intégralement livré, architecturé différemment du plan initial (pas de vue DemandesView.vue unique : IssuesView/OrdersView/ShiftsView par type de demande + Workspace pour la création ; navigation réelle = Menu2.vue, pas Navigation.vue, orpheline).</t>
        </is>
      </c>
    </row>
    <row r="21" ht="37.5" customHeight="1" s="52">
      <c r="A21" s="98" t="inlineStr">
        <is>
          <t>4.3</t>
        </is>
      </c>
      <c r="B21" s="95" t="inlineStr">
        <is>
          <t>Phase 4</t>
        </is>
      </c>
      <c r="C21" s="100" t="inlineStr">
        <is>
          <t>Frontend</t>
        </is>
      </c>
      <c r="D21" s="94" t="inlineStr">
        <is>
          <t>🔵 Normale</t>
        </is>
      </c>
      <c r="E21" s="105" t="inlineStr">
        <is>
          <t>Vue Sites &amp; Contacts</t>
        </is>
      </c>
      <c r="F21" s="105" t="inlineStr">
        <is>
          <t>Sites: liste filtrée par client. Contacts: recherche par nom/fonction, liens clients/sites.</t>
        </is>
      </c>
      <c r="G21" s="102" t="inlineStr">
        <is>
          <t>Complété</t>
        </is>
      </c>
      <c r="H21" s="105" t="inlineStr">
        <is>
          <t>1.5j</t>
        </is>
      </c>
      <c r="I21" s="105" t="inlineStr">
        <is>
          <t>views/SitesView.vue · ContactsView.vue · router/index.js</t>
        </is>
      </c>
      <c r="J21" s="105" t="inlineStr">
        <is>
          <t>4.1</t>
        </is>
      </c>
      <c r="K21" s="105" t="n"/>
      <c r="L21" s="105" t="n"/>
      <c r="M21" s="105" t="inlineStr">
        <is>
          <t>[Audit 14/08] frontend intégralement livré, architecturé différemment du plan initial (pas de vue DemandesView.vue unique : IssuesView/OrdersView/ShiftsView par type de demande + Workspace pour la création ; navigation réelle = Menu2.vue, pas Navigation.vue, orpheline).</t>
        </is>
      </c>
    </row>
    <row r="22" ht="37.5" customHeight="1" s="52">
      <c r="A22" s="98" t="inlineStr">
        <is>
          <t>4.4</t>
        </is>
      </c>
      <c r="B22" s="95" t="inlineStr">
        <is>
          <t>Phase 4</t>
        </is>
      </c>
      <c r="C22" s="100" t="inlineStr">
        <is>
          <t>Frontend</t>
        </is>
      </c>
      <c r="D22" s="94" t="inlineStr">
        <is>
          <t>🔵 Normale</t>
        </is>
      </c>
      <c r="E22" s="100" t="inlineStr">
        <is>
          <t>Vue Demandes — liste, création par type, détail + timeline</t>
        </is>
      </c>
      <c r="F22" s="100" t="inlineStr">
        <is>
          <t>Filtres (statut/priorité/type/client). 4 sous-formulaires. Timeline interactions + PJ. Routes /demandes, /demandes/new, /demandes/:id.</t>
        </is>
      </c>
      <c r="G22" s="102" t="inlineStr">
        <is>
          <t>Complété</t>
        </is>
      </c>
      <c r="H22" s="100" t="inlineStr">
        <is>
          <t>3j</t>
        </is>
      </c>
      <c r="I22" s="100" t="inlineStr">
        <is>
          <t>views/DemandesView.vue · DemandeDetailView.vue + composants</t>
        </is>
      </c>
      <c r="J22" s="100" t="inlineStr">
        <is>
          <t>4.1</t>
        </is>
      </c>
      <c r="K22" s="100" t="n"/>
      <c r="L22" s="100" t="n"/>
      <c r="M22" s="100" t="inlineStr">
        <is>
          <t>[Audit 14/08] frontend intégralement livré, architecturé différemment du plan initial (pas de vue DemandesView.vue unique : IssuesView/OrdersView/ShiftsView par type de demande + Workspace pour la création ; navigation réelle = Menu2.vue, pas Navigation.vue, orpheline).</t>
        </is>
      </c>
    </row>
    <row r="23" ht="37.5" customHeight="1" s="52">
      <c r="A23" s="98" t="inlineStr">
        <is>
          <t>4.5</t>
        </is>
      </c>
      <c r="B23" s="95" t="inlineStr">
        <is>
          <t>Phase 4</t>
        </is>
      </c>
      <c r="C23" s="100" t="inlineStr">
        <is>
          <t>Frontend</t>
        </is>
      </c>
      <c r="D23" s="94" t="inlineStr">
        <is>
          <t>🔵 Normale</t>
        </is>
      </c>
      <c r="E23" s="105" t="inlineStr">
        <is>
          <t>Brancher le Dashboard sur l'API réelle</t>
        </is>
      </c>
      <c r="F23" s="105" t="inlineStr">
        <is>
          <t>Remplacer useMockDashboardData.js par composable avec vrais appels. Ajouter /api/dashboard/stats backend.</t>
        </is>
      </c>
      <c r="G23" s="102" t="inlineStr">
        <is>
          <t>Complété</t>
        </is>
      </c>
      <c r="H23" s="105" t="inlineStr">
        <is>
          <t>2j</t>
        </is>
      </c>
      <c r="I23" s="105" t="inlineStr">
        <is>
          <t>composables/useDashboardData.js · routes: /api/dashboard/stats (nouveau)</t>
        </is>
      </c>
      <c r="J23" s="105" t="inlineStr">
        <is>
          <t>4.1</t>
        </is>
      </c>
      <c r="K23" s="105" t="n"/>
      <c r="L23" s="105" t="n"/>
      <c r="M23" s="105" t="inlineStr">
        <is>
          <t>[Audit 14/08] frontend intégralement livré, architecturé différemment du plan initial (pas de vue DemandesView.vue unique : IssuesView/OrdersView/ShiftsView par type de demande + Workspace pour la création ; navigation réelle = Menu2.vue, pas Navigation.vue, orpheline).</t>
        </is>
      </c>
    </row>
    <row r="24" ht="37.5" customHeight="1" s="52">
      <c r="A24" s="98" t="inlineStr">
        <is>
          <t>4.6</t>
        </is>
      </c>
      <c r="B24" s="95" t="inlineStr">
        <is>
          <t>Phase 4</t>
        </is>
      </c>
      <c r="C24" s="100" t="inlineStr">
        <is>
          <t>Frontend</t>
        </is>
      </c>
      <c r="D24" s="94" t="inlineStr">
        <is>
          <t>🔵 Normale</t>
        </is>
      </c>
      <c r="E24" s="100" t="inlineStr">
        <is>
          <t>Navigation globale et layout authentifié</t>
        </is>
      </c>
      <c r="F24" s="100" t="inlineStr">
        <is>
          <t>Menu latéral avec tous les liens. Afficher rôle et tenant actif. Bouton déconnexion. Menus conditionnels par rôle.</t>
        </is>
      </c>
      <c r="G24" s="102" t="inlineStr">
        <is>
          <t>Complété</t>
        </is>
      </c>
      <c r="H24" s="100" t="inlineStr">
        <is>
          <t>1j</t>
        </is>
      </c>
      <c r="I24" s="100" t="inlineStr">
        <is>
          <t>components/Navigation.vue · Header.vue</t>
        </is>
      </c>
      <c r="J24" s="100" t="inlineStr">
        <is>
          <t>1.4</t>
        </is>
      </c>
      <c r="K24" s="100" t="n"/>
      <c r="L24" s="100" t="n"/>
      <c r="M24" s="100" t="inlineStr">
        <is>
          <t>[Audit 14/08] frontend intégralement livré, architecturé différemment du plan initial (pas de vue DemandesView.vue unique : IssuesView/OrdersView/ShiftsView par type de demande + Workspace pour la création ; navigation réelle = Menu2.vue, pas Navigation.vue, orpheline).</t>
        </is>
      </c>
    </row>
    <row r="25" ht="37.5" customHeight="1" s="52">
      <c r="A25" s="98" t="inlineStr">
        <is>
          <t>5.1</t>
        </is>
      </c>
      <c r="B25" s="99" t="inlineStr">
        <is>
          <t>Phase 5</t>
        </is>
      </c>
      <c r="C25" s="100" t="inlineStr">
        <is>
          <t>Qualité</t>
        </is>
      </c>
      <c r="D25" s="101" t="inlineStr">
        <is>
          <t>⚪ Basse</t>
        </is>
      </c>
      <c r="E25" s="105" t="inlineStr">
        <is>
          <t>Supprimer les fichiers orphelins à la racine</t>
        </is>
      </c>
      <c r="F25" s="105" t="inlineStr">
        <is>
          <t>api.js, axios.js, main.css à la racine. Vérifier qu'ils ne sont importés nulle part puis supprimer après validation.</t>
        </is>
      </c>
      <c r="G25" s="102" t="inlineStr">
        <is>
          <t>À faire</t>
        </is>
      </c>
      <c r="H25" s="105" t="inlineStr">
        <is>
          <t>30m</t>
        </is>
      </c>
      <c r="I25" s="105" t="inlineStr">
        <is>
          <t>api.js · axios.js · main.css (racine projet)</t>
        </is>
      </c>
      <c r="J25" s="105" t="n"/>
      <c r="K25" s="105" t="n"/>
      <c r="L25" s="105" t="n"/>
      <c r="M25" s="105" t="inlineStr">
        <is>
          <t>[Audit 14/08] confirmé toujours présent (api.js/axios.js/main.css à la racine, non importés par frontend/src) — non fait.</t>
        </is>
      </c>
    </row>
    <row r="26" ht="37.5" customHeight="1" s="52">
      <c r="A26" s="98" t="inlineStr">
        <is>
          <t>5.2</t>
        </is>
      </c>
      <c r="B26" s="99" t="inlineStr">
        <is>
          <t>Phase 5</t>
        </is>
      </c>
      <c r="C26" s="100" t="inlineStr">
        <is>
          <t>Qualité</t>
        </is>
      </c>
      <c r="D26" s="101" t="inlineStr">
        <is>
          <t>⚪ Basse</t>
        </is>
      </c>
      <c r="E26" s="100" t="inlineStr">
        <is>
          <t>Vérifier SQLALCHEMY_ECHO désactivé en production</t>
        </is>
      </c>
      <c r="F26" s="100" t="inlineStr">
        <is>
          <t>Confirmer ProductionConfig. Ajouter WARNING si DEBUG=False et ECHO=True.</t>
        </is>
      </c>
      <c r="G26" s="102" t="inlineStr">
        <is>
          <t>Complété</t>
        </is>
      </c>
      <c r="H26" s="100" t="inlineStr">
        <is>
          <t>30m</t>
        </is>
      </c>
      <c r="I26" s="100" t="inlineStr">
        <is>
          <t>app/config.py</t>
        </is>
      </c>
      <c r="J26" s="100" t="n"/>
      <c r="K26" s="100" t="n"/>
      <c r="L26" s="100" t="n"/>
      <c r="M26" s="100" t="inlineStr">
        <is>
          <t>[Audit 14/08] ProductionConfig.SQLALCHEMY_ECHO=False confirmé (app/config.py). Le WARNING runtime mentionné dans la description n'a pas été ajouté (mineur, non bloquant).</t>
        </is>
      </c>
    </row>
    <row r="27" ht="37.5" customHeight="1" s="52">
      <c r="A27" s="98" t="inlineStr">
        <is>
          <t>5.3</t>
        </is>
      </c>
      <c r="B27" s="99" t="inlineStr">
        <is>
          <t>Phase 5</t>
        </is>
      </c>
      <c r="C27" s="100" t="inlineStr">
        <is>
          <t>Documentation</t>
        </is>
      </c>
      <c r="D27" s="101" t="inlineStr">
        <is>
          <t>⚪ Basse</t>
        </is>
      </c>
      <c r="E27" s="105" t="inlineStr">
        <is>
          <t>Mettre à jour README.md et PROJECT_STRUCTURE.md</t>
        </is>
      </c>
      <c r="F27" s="105" t="inlineStr">
        <is>
          <t>Nouveaux endpoints, flow multi-tenant, état réel. Ajouter changelog horodaté. Déplacer docs/ si nécessaire.</t>
        </is>
      </c>
      <c r="G27" s="102" t="inlineStr">
        <is>
          <t>Complété</t>
        </is>
      </c>
      <c r="H27" s="105" t="inlineStr">
        <is>
          <t>1j</t>
        </is>
      </c>
      <c r="I27" s="105" t="inlineStr">
        <is>
          <t>README.md · PROJECT_STRUCTURE.md</t>
        </is>
      </c>
      <c r="J27" s="105" t="n"/>
      <c r="K27" s="105" t="n"/>
      <c r="L27" s="105" t="n"/>
      <c r="M27" s="105" t="inlineStr">
        <is>
          <t>[Audit 14/08] tenus à jour en continu via changelogs versionnés depuis (dernière entrée : v1.10.0, 14/08).</t>
        </is>
      </c>
    </row>
    <row r="28" ht="37.5" customHeight="1" s="52">
      <c r="A28" s="98" t="inlineStr">
        <is>
          <t>5.4</t>
        </is>
      </c>
      <c r="B28" s="99" t="inlineStr">
        <is>
          <t>Phase 5</t>
        </is>
      </c>
      <c r="C28" s="100" t="inlineStr">
        <is>
          <t>Tests</t>
        </is>
      </c>
      <c r="D28" s="101" t="inlineStr">
        <is>
          <t>⚪ Basse</t>
        </is>
      </c>
      <c r="E28" s="100" t="inlineStr">
        <is>
          <t>Audit final et couverture de tests (objectif 80%+)</t>
        </is>
      </c>
      <c r="F28" s="100" t="inlineStr">
        <is>
          <t>pytest --cov=app --cov-report=html. Identifier zones non couvertes. Tester migrations sous Docker PostgreSQL.</t>
        </is>
      </c>
      <c r="G28" s="102" t="inlineStr">
        <is>
          <t>En cours</t>
        </is>
      </c>
      <c r="H28" s="100" t="inlineStr">
        <is>
          <t>½j</t>
        </is>
      </c>
      <c r="I28" s="100" t="inlineStr">
        <is>
          <t>backend/tests/ · docker-compose.yml</t>
        </is>
      </c>
      <c r="J28" s="100" t="inlineStr">
        <is>
          <t>3.4</t>
        </is>
      </c>
      <c r="K28" s="100" t="n"/>
      <c r="L28" s="100" t="n"/>
      <c r="M28" s="100" t="inlineStr">
        <is>
          <t>Baseline formelle mesuree le 14/08 : pytest --cov=app -&gt; 64% global (7735 stmts, 2786 miss), 398 tests. Points forts (&gt;=95%) : models/ quasi tous, routes/telephony.py 87%, routes/auth.py 85%. Points faibles notables : services/reencrypt.py 0%, routes/settings.py 19%, routes/prestataires.py 20%, scripts/seed_prestataires.py 11%, utils/crypto.py 54%, utils/login_throttle.py 59%, services/sla.py 51%, routes/demandes.py 62%. Objectif 80%+ delibrement reporte a un chantier dedie futur (scope trop large pour cette passe) — decision actee avec l'utilisateur le 14/08.</t>
        </is>
      </c>
    </row>
    <row r="29" ht="37.5" customHeight="1" s="52">
      <c r="A29" s="98" t="inlineStr">
        <is>
          <t>6.1</t>
        </is>
      </c>
      <c r="B29" s="99" t="inlineStr">
        <is>
          <t>Phase 6</t>
        </is>
      </c>
      <c r="C29" s="100" t="inlineStr">
        <is>
          <t>Backend</t>
        </is>
      </c>
      <c r="D29" s="101" t="inlineStr">
        <is>
          <t>🟡 Haute</t>
        </is>
      </c>
      <c r="E29" s="100" t="inlineStr">
        <is>
          <t>Flag tenant integrations.erp (channel_erp)</t>
        </is>
      </c>
      <c r="F29" s="100" t="inlineStr">
        <is>
          <t>Colonne Tenant.channel_erp (motif channel_telephonie/email/chat), pas une dérivation pure dans tenant_features() — écart assumé par rapport à la note initiale ("channel_odoo écarté") : le motif column-on-Tenant déjà utilisé pour téléphonie/email/chat a été jugé plus cohérent qu'une exception. Exposé via tenant_features() (ch["erp"], config_state.erp_configured, integrations.erp).</t>
        </is>
      </c>
      <c r="G29" s="102" t="inlineStr">
        <is>
          <t>Complété</t>
        </is>
      </c>
      <c r="H29" s="100" t="inlineStr">
        <is>
          <t>½j</t>
        </is>
      </c>
      <c r="I29" s="100" t="inlineStr">
        <is>
          <t>app/models/tenant.py · app/services/tenant_features.py · app/routes/tenants.py · migrations/versions/c1b16fed65e1_erp_foundations.py</t>
        </is>
      </c>
      <c r="J29" s="100" t="n"/>
      <c r="K29" s="100" t="inlineStr">
        <is>
          <t>2026-08-14</t>
        </is>
      </c>
      <c r="L29" s="100" t="inlineStr">
        <is>
          <t>2026-08-14</t>
        </is>
      </c>
      <c r="M29" s="100" t="inlineStr">
        <is>
          <t>[14/08] Erp, pas Odoo (préfixe générique du plan, décision actée). Éditable via PUT /api/tenants/&lt;id&gt; (ADMIN global), même contrat que les channel_* existants.</t>
        </is>
      </c>
    </row>
    <row r="30" ht="37.5" customHeight="1" s="52">
      <c r="A30" s="98" t="inlineStr">
        <is>
          <t>6.2</t>
        </is>
      </c>
      <c r="B30" s="99" t="inlineStr">
        <is>
          <t>Phase 6</t>
        </is>
      </c>
      <c r="C30" s="100" t="inlineStr">
        <is>
          <t>Backend</t>
        </is>
      </c>
      <c r="D30" s="101" t="inlineStr">
        <is>
          <t>🟡 Haute</t>
        </is>
      </c>
      <c r="E30" s="100" t="inlineStr">
        <is>
          <t>Modèle + migration ErpConfig</t>
        </is>
      </c>
      <c r="F30" s="100" t="inlineStr">
        <is>
          <t>1 ligne par tenant : company_id ERP (instance partagée, pas de base/URL par tenant — §2.3) + 3 champs EncryptedText (url_erp/admin_username/admin_password) pour l'accès direct admin (§4.4, voir 6.9). TypeDecorator EncryptedText déjà présent (crypto.py, Email.subject/body_text) mais jusqu'ici jamais réutilisé ailleurs — désormais un 2e usage.</t>
        </is>
      </c>
      <c r="G30" s="102" t="inlineStr">
        <is>
          <t>Complété</t>
        </is>
      </c>
      <c r="H30" s="100" t="inlineStr">
        <is>
          <t>1j</t>
        </is>
      </c>
      <c r="I30" s="100" t="inlineStr">
        <is>
          <t>app/models/erp.py (nouveau) · migrations/versions/c1b16fed65e1_erp_foundations.py</t>
        </is>
      </c>
      <c r="J30" s="100" t="inlineStr">
        <is>
          <t>6.1</t>
        </is>
      </c>
      <c r="K30" s="100" t="inlineStr">
        <is>
          <t>2026-08-14</t>
        </is>
      </c>
      <c r="L30" s="100" t="inlineStr">
        <is>
          <t>2026-08-14</t>
        </is>
      </c>
      <c r="M30" s="100" t="inlineStr">
        <is>
          <t>[14/08] Nom de fichier/table erp_config (pas odoo.py/odoo_config) — cf. décision de préfixe 6.1.</t>
        </is>
      </c>
    </row>
    <row r="31" ht="37.5" customHeight="1" s="52">
      <c r="A31" s="98" t="inlineStr">
        <is>
          <t>6.3</t>
        </is>
      </c>
      <c r="B31" s="99" t="inlineStr">
        <is>
          <t>Phase 6</t>
        </is>
      </c>
      <c r="C31" s="100" t="inlineStr">
        <is>
          <t>Backend</t>
        </is>
      </c>
      <c r="D31" s="101" t="inlineStr">
        <is>
          <t>🟡 Haute</t>
        </is>
      </c>
      <c r="E31" s="100" t="inlineStr">
        <is>
          <t>Modèle + migration erp_sync_queue</t>
        </is>
      </c>
      <c r="F31" s="100" t="inlineStr">
        <is>
          <t>File de retry : tenant_id, flux, payload (JSON), status (pending|in_flight|done|failed, String), attempts, error, locked_at/locked_until (verrouillage anti-double-traitement §2.4, absent du precedent le plus proche email_outbox).</t>
        </is>
      </c>
      <c r="G31" s="102" t="inlineStr">
        <is>
          <t>Complété</t>
        </is>
      </c>
      <c r="H31" s="100" t="inlineStr">
        <is>
          <t>½j</t>
        </is>
      </c>
      <c r="I31" s="100" t="inlineStr">
        <is>
          <t>app/models/erp.py · migrations/versions/c1b16fed65e1_erp_foundations.py</t>
        </is>
      </c>
      <c r="J31" s="100" t="inlineStr">
        <is>
          <t>6.2</t>
        </is>
      </c>
      <c r="K31" s="100" t="inlineStr">
        <is>
          <t>2026-08-14</t>
        </is>
      </c>
      <c r="L31" s="100" t="inlineStr">
        <is>
          <t>2026-08-14</t>
        </is>
      </c>
      <c r="M31" s="100" t="inlineStr">
        <is>
          <t>[14/08] Colonne next_retry_at de la description initiale remplacée par locked_at/locked_until (verrouillage court, motif différent d'un simple 'prochaine tentative à').</t>
        </is>
      </c>
    </row>
    <row r="32" ht="37.5" customHeight="1" s="52">
      <c r="A32" s="98" t="inlineStr">
        <is>
          <t>6.4</t>
        </is>
      </c>
      <c r="B32" s="99" t="inlineStr">
        <is>
          <t>Phase 6</t>
        </is>
      </c>
      <c r="C32" s="100" t="inlineStr">
        <is>
          <t>Backend</t>
        </is>
      </c>
      <c r="D32" s="101" t="inlineStr">
        <is>
          <t>🟡 Haute</t>
        </is>
      </c>
      <c r="E32" s="100" t="inlineStr">
        <is>
          <t>Route /api/settings/erp (GET/PUT/test) + /api/settings/general (§4.3)</t>
        </is>
      </c>
      <c r="F32" s="100" t="inlineStr">
        <is>
          <t>Calque de routes/settings.py (SMTP) : GET ouvert à tout membre, PUT/test réservés @tenant_admin_required, test retourne toujours 200 (ok:true/false). Ajout non prévu à l'origine : /api/settings/general (GET/PUT) pour document_blocking_expired/vacation_delay_threshold_minutes (§4.3, réglages tenant sans rapport direct à ERP mais posés dès cette phase, prérequis Phases 9/10).</t>
        </is>
      </c>
      <c r="G32" s="102" t="inlineStr">
        <is>
          <t>Complété</t>
        </is>
      </c>
      <c r="H32" s="100" t="inlineStr">
        <is>
          <t>1j</t>
        </is>
      </c>
      <c r="I32" s="100" t="inlineStr">
        <is>
          <t>app/routes/settings.py</t>
        </is>
      </c>
      <c r="J32" s="100" t="inlineStr">
        <is>
          <t>6.2</t>
        </is>
      </c>
      <c r="K32" s="100" t="inlineStr">
        <is>
          <t>2026-08-14</t>
        </is>
      </c>
      <c r="L32" s="100" t="inlineStr">
        <is>
          <t>2026-08-14</t>
        </is>
      </c>
      <c r="M32" s="100" t="inlineStr">
        <is>
          <t>[14/08] Les champs url_erp/admin_username/admin_password (accès direct §4.4) sont explicitement REFUSÉS par PUT /settings/erp (tenant-admin) — réservés à l'ADMIN global via /api/erp/direct-access (6.9).</t>
        </is>
      </c>
    </row>
    <row r="33" ht="37.5" customHeight="1" s="52">
      <c r="A33" s="98" t="inlineStr">
        <is>
          <t>6.5</t>
        </is>
      </c>
      <c r="B33" s="99" t="inlineStr">
        <is>
          <t>Phase 6</t>
        </is>
      </c>
      <c r="C33" s="100" t="inlineStr">
        <is>
          <t>Backend</t>
        </is>
      </c>
      <c r="D33" s="101" t="inlineStr">
        <is>
          <t>🟢 Normale</t>
        </is>
      </c>
      <c r="E33" s="100" t="inlineStr">
        <is>
          <t>Service erp_client.py (wrapper xmlrpc.client)</t>
        </is>
      </c>
      <c r="F33" s="100" t="inlineStr">
        <is>
          <t>ErpClient.execute_kw(company_id, model, method, args, kwargs) — company_id obligatoire (jamais de défaut implicite), with_context(allowed_company_ids=…) injecté systématiquement (§2.3). Injecté par paramètre (jamais singleton) pour permettre FakeErpClient en test (§2.5, voir 6.7). Transport XML-RPC avec timeout socket configurable (défaut 3s, §2.1).</t>
        </is>
      </c>
      <c r="G33" s="102" t="inlineStr">
        <is>
          <t>Complété</t>
        </is>
      </c>
      <c r="H33" s="100" t="inlineStr">
        <is>
          <t>1j</t>
        </is>
      </c>
      <c r="I33" s="100" t="inlineStr">
        <is>
          <t>app/services/erp_client.py (nouveau)</t>
        </is>
      </c>
      <c r="J33" s="100" t="inlineStr">
        <is>
          <t>6.2</t>
        </is>
      </c>
      <c r="K33" s="100" t="inlineStr">
        <is>
          <t>2026-08-14</t>
        </is>
      </c>
      <c r="L33" s="100" t="inlineStr">
        <is>
          <t>2026-08-14</t>
        </is>
      </c>
      <c r="M33" s="100" t="n"/>
    </row>
    <row r="34" ht="37.5" customHeight="1" s="52">
      <c r="A34" s="98" t="inlineStr">
        <is>
          <t>6.6</t>
        </is>
      </c>
      <c r="B34" s="99" t="inlineStr">
        <is>
          <t>Phase 6</t>
        </is>
      </c>
      <c r="C34" s="100" t="inlineStr">
        <is>
          <t>Backend</t>
        </is>
      </c>
      <c r="D34" s="101" t="inlineStr">
        <is>
          <t>🟢 Normale</t>
        </is>
      </c>
      <c r="E34" s="100" t="inlineStr">
        <is>
          <t>Commande flask erp-sync-dispatch + cron</t>
        </is>
      </c>
      <c r="F34" s="100" t="inlineStr">
        <is>
          <t>Traite erp_sync_queue (pending/failed sous le seuil de tentatives, non verrouillées), même patron que notifications-dispatch (dispatch_emails). Cron+queue, pas Celery (§2.1), conforme à la décision actée.</t>
        </is>
      </c>
      <c r="G34" s="102" t="inlineStr">
        <is>
          <t>En cours</t>
        </is>
      </c>
      <c r="H34" s="100" t="inlineStr">
        <is>
          <t>½j</t>
        </is>
      </c>
      <c r="I34" s="100" t="inlineStr">
        <is>
          <t>app/services/erp_sync.py (nouveau) · app/__init__.py</t>
        </is>
      </c>
      <c r="J34" s="100" t="inlineStr">
        <is>
          <t>6.3, 6.5</t>
        </is>
      </c>
      <c r="K34" s="100" t="inlineStr">
        <is>
          <t>2026-08-14</t>
        </is>
      </c>
      <c r="L34" s="100" t="n"/>
      <c r="M34" s="100" t="inlineStr">
        <is>
          <t>[14/08] Verrouillage/déverrouillage et transitions de statut opérationnels et testés — MAIS aucun flux réel n'est encore rejoué (chaque ligne traitée échoue avec un message explicite 'non implémenté'), car aucun flux n'écrit encore dans la queue avant la Phase 7 (erp_partners). À rouvrir en Phase 7 pour brancher la vraie logique de rejeu (search-then-write par x_permatel_ref, §2.4).</t>
        </is>
      </c>
    </row>
    <row r="35" ht="37.5" customHeight="1" s="52">
      <c r="A35" s="98" t="inlineStr">
        <is>
          <t>7.1</t>
        </is>
      </c>
      <c r="B35" s="99" t="inlineStr">
        <is>
          <t>Phase 7</t>
        </is>
      </c>
      <c r="C35" s="100" t="inlineStr">
        <is>
          <t>Infra</t>
        </is>
      </c>
      <c r="D35" s="101" t="inlineStr">
        <is>
          <t>🟡 Haute</t>
        </is>
      </c>
      <c r="E35" s="100" t="inlineStr">
        <is>
          <t>Conteneur Odoo 18 Community + Postgres dédié</t>
        </is>
      </c>
      <c r="F35" s="100" t="inlineStr">
        <is>
          <t>Sur réseau interne (permatel_internal), jamais exposé sur l'hôte.</t>
        </is>
      </c>
      <c r="G35" s="102" t="inlineStr">
        <is>
          <t>À faire</t>
        </is>
      </c>
      <c r="H35" s="100" t="inlineStr">
        <is>
          <t>1j</t>
        </is>
      </c>
      <c r="I35" s="100" t="inlineStr">
        <is>
          <t>docker-compose.yml</t>
        </is>
      </c>
      <c r="J35" s="100" t="inlineStr">
        <is>
          <t>6.6</t>
        </is>
      </c>
      <c r="K35" s="100" t="n"/>
      <c r="L35" s="100" t="n"/>
      <c r="M35" s="100" t="n"/>
    </row>
    <row r="36" ht="37.5" customHeight="1" s="52">
      <c r="A36" s="98" t="inlineStr">
        <is>
          <t>7.2</t>
        </is>
      </c>
      <c r="B36" s="99" t="inlineStr">
        <is>
          <t>Phase 7</t>
        </is>
      </c>
      <c r="C36" s="100" t="inlineStr">
        <is>
          <t>Infra</t>
        </is>
      </c>
      <c r="D36" s="101" t="inlineStr">
        <is>
          <t>🟡 Haute</t>
        </is>
      </c>
      <c r="E36" s="100" t="inlineStr">
        <is>
          <t>Multi-database Odoo (dbfilter, list_db=False)</t>
        </is>
      </c>
      <c r="F36" s="100" t="inlineStr">
        <is>
          <t>1 base Odoo par tenant PERMATEL, rôle Postgres distinct par base.</t>
        </is>
      </c>
      <c r="G36" s="102" t="inlineStr">
        <is>
          <t>À faire</t>
        </is>
      </c>
      <c r="H36" s="100" t="inlineStr">
        <is>
          <t>1j</t>
        </is>
      </c>
      <c r="I36" s="100" t="inlineStr">
        <is>
          <t>infra Odoo (config serveur)</t>
        </is>
      </c>
      <c r="J36" s="100" t="inlineStr">
        <is>
          <t>7.1</t>
        </is>
      </c>
      <c r="K36" s="100" t="n"/>
      <c r="L36" s="100" t="n"/>
      <c r="M36" s="100" t="n"/>
    </row>
    <row r="37" ht="37.5" customHeight="1" s="52">
      <c r="A37" s="98" t="inlineStr">
        <is>
          <t>7.3</t>
        </is>
      </c>
      <c r="B37" s="99" t="inlineStr">
        <is>
          <t>Phase 7</t>
        </is>
      </c>
      <c r="C37" s="100" t="inlineStr">
        <is>
          <t>Backend</t>
        </is>
      </c>
      <c r="D37" s="101" t="inlineStr">
        <is>
          <t>🟢 Normale</t>
        </is>
      </c>
      <c r="E37" s="100" t="inlineStr">
        <is>
          <t>Modèle + migration odoo_partners</t>
        </is>
      </c>
      <c r="F37" s="100" t="inlineStr">
        <is>
          <t>Copie locale des partenaires synchronisés (odoo_id, sync_status, last_synced_at).</t>
        </is>
      </c>
      <c r="G37" s="102" t="inlineStr">
        <is>
          <t>À faire</t>
        </is>
      </c>
      <c r="H37" s="100" t="inlineStr">
        <is>
          <t>½j</t>
        </is>
      </c>
      <c r="I37" s="100" t="inlineStr">
        <is>
          <t>app/models/odoo.py · migrations/versions/</t>
        </is>
      </c>
      <c r="J37" s="100" t="inlineStr">
        <is>
          <t>6.2</t>
        </is>
      </c>
      <c r="K37" s="100" t="n"/>
      <c r="L37" s="100" t="n"/>
      <c r="M37" s="100" t="n"/>
    </row>
    <row r="38" ht="37.5" customHeight="1" s="52">
      <c r="A38" s="98" t="inlineStr">
        <is>
          <t>7.4</t>
        </is>
      </c>
      <c r="B38" s="99" t="inlineStr">
        <is>
          <t>Phase 7</t>
        </is>
      </c>
      <c r="C38" s="100" t="inlineStr">
        <is>
          <t>Backend</t>
        </is>
      </c>
      <c r="D38" s="101" t="inlineStr">
        <is>
          <t>🟢 Normale</t>
        </is>
      </c>
      <c r="E38" s="100" t="inlineStr">
        <is>
          <t>Commande flask odoo-sync-partners (bidirectionnel)</t>
        </is>
      </c>
      <c r="F38" s="100" t="inlineStr">
        <is>
          <t>Cron 15 min par défaut, configurable par tenant (F1 du CDC).</t>
        </is>
      </c>
      <c r="G38" s="102" t="inlineStr">
        <is>
          <t>À faire</t>
        </is>
      </c>
      <c r="H38" s="100" t="inlineStr">
        <is>
          <t>1.5j</t>
        </is>
      </c>
      <c r="I38" s="100" t="inlineStr">
        <is>
          <t>app/scripts/odoo_sync.py</t>
        </is>
      </c>
      <c r="J38" s="100" t="inlineStr">
        <is>
          <t>7.2, 7.3, 6.5</t>
        </is>
      </c>
      <c r="K38" s="100" t="n"/>
      <c r="L38" s="100" t="n"/>
      <c r="M38" s="100" t="n"/>
    </row>
    <row r="39" ht="37.5" customHeight="1" s="52">
      <c r="A39" s="98" t="inlineStr">
        <is>
          <t>7.5</t>
        </is>
      </c>
      <c r="B39" s="99" t="inlineStr">
        <is>
          <t>Phase 7</t>
        </is>
      </c>
      <c r="C39" s="100" t="inlineStr">
        <is>
          <t>Frontend</t>
        </is>
      </c>
      <c r="D39" s="101" t="inlineStr">
        <is>
          <t>🟢 Normale</t>
        </is>
      </c>
      <c r="E39" s="100" t="inlineStr">
        <is>
          <t>Indicateur de fraîcheur last_synced_at</t>
        </is>
      </c>
      <c r="F39" s="100" t="inlineStr">
        <is>
          <t>Affiché sur les vues Clients/Prestataires quand l'intégration Odoo est active pour le tenant.</t>
        </is>
      </c>
      <c r="G39" s="102" t="inlineStr">
        <is>
          <t>À faire</t>
        </is>
      </c>
      <c r="H39" s="100" t="inlineStr">
        <is>
          <t>½j</t>
        </is>
      </c>
      <c r="I39" s="100" t="inlineStr">
        <is>
          <t>frontend/src/views/ClientsView.vue · PartnerView.vue</t>
        </is>
      </c>
      <c r="J39" s="100" t="inlineStr">
        <is>
          <t>7.4</t>
        </is>
      </c>
      <c r="K39" s="100" t="n"/>
      <c r="L39" s="100" t="n"/>
      <c r="M39" s="100" t="n"/>
    </row>
    <row r="40" ht="37.5" customHeight="1" s="52">
      <c r="A40" s="98" t="inlineStr">
        <is>
          <t>8.1</t>
        </is>
      </c>
      <c r="B40" s="99" t="inlineStr">
        <is>
          <t>Phase 8</t>
        </is>
      </c>
      <c r="C40" s="100" t="inlineStr">
        <is>
          <t>Backend</t>
        </is>
      </c>
      <c r="D40" s="101" t="inlineStr">
        <is>
          <t>🟢 Normale</t>
        </is>
      </c>
      <c r="E40" s="100" t="inlineStr">
        <is>
          <t>Hook demande commande → devis Odoo (F2)</t>
        </is>
      </c>
      <c r="F40" s="100" t="inlineStr">
        <is>
          <t>Tentative synchrone (timeout court 2-3s) juste après le commit, échec → odoo_sync_queue.</t>
        </is>
      </c>
      <c r="G40" s="102" t="inlineStr">
        <is>
          <t>À faire</t>
        </is>
      </c>
      <c r="H40" s="100" t="inlineStr">
        <is>
          <t>1j</t>
        </is>
      </c>
      <c r="I40" s="100" t="inlineStr">
        <is>
          <t>app/routes/demandes.py</t>
        </is>
      </c>
      <c r="J40" s="100" t="inlineStr">
        <is>
          <t>6.3, 6.5, 7.4</t>
        </is>
      </c>
      <c r="K40" s="100" t="n"/>
      <c r="L40" s="100" t="n"/>
      <c r="M40" s="100" t="n"/>
    </row>
    <row r="41" ht="37.5" customHeight="1" s="52">
      <c r="A41" s="98" t="inlineStr">
        <is>
          <t>8.2</t>
        </is>
      </c>
      <c r="B41" s="99" t="inlineStr">
        <is>
          <t>Phase 8</t>
        </is>
      </c>
      <c r="C41" s="100" t="inlineStr">
        <is>
          <t>Backend</t>
        </is>
      </c>
      <c r="D41" s="101" t="inlineStr">
        <is>
          <t>🟢 Normale</t>
        </is>
      </c>
      <c r="E41" s="100" t="inlineStr">
        <is>
          <t>Modèles + migration odoo_devis / odoo_factures</t>
        </is>
      </c>
      <c r="F41" s="100" t="inlineStr">
        <is>
          <t>Copie locale en lecture (F4 : retour Odoo → PERMATEL).</t>
        </is>
      </c>
      <c r="G41" s="102" t="inlineStr">
        <is>
          <t>À faire</t>
        </is>
      </c>
      <c r="H41" s="100" t="inlineStr">
        <is>
          <t>½j</t>
        </is>
      </c>
      <c r="I41" s="100" t="inlineStr">
        <is>
          <t>app/models/odoo.py · migrations/versions/</t>
        </is>
      </c>
      <c r="J41" s="100" t="inlineStr">
        <is>
          <t>6.2</t>
        </is>
      </c>
      <c r="K41" s="100" t="n"/>
      <c r="L41" s="100" t="n"/>
      <c r="M41" s="100" t="n"/>
    </row>
    <row r="42" ht="37.5" customHeight="1" s="52">
      <c r="A42" s="98" t="inlineStr">
        <is>
          <t>8.3</t>
        </is>
      </c>
      <c r="B42" s="99" t="inlineStr">
        <is>
          <t>Phase 8</t>
        </is>
      </c>
      <c r="C42" s="100" t="inlineStr">
        <is>
          <t>Backend</t>
        </is>
      </c>
      <c r="D42" s="101" t="inlineStr">
        <is>
          <t>🟢 Normale</t>
        </is>
      </c>
      <c r="E42" s="100" t="inlineStr">
        <is>
          <t>Sync retour devis/facture</t>
        </is>
      </c>
      <c r="F42" s="100" t="inlineStr">
        <is>
          <t>Intégré à la commande odoo-sync-dispatch existante (cron).</t>
        </is>
      </c>
      <c r="G42" s="102" t="inlineStr">
        <is>
          <t>À faire</t>
        </is>
      </c>
      <c r="H42" s="100" t="inlineStr">
        <is>
          <t>1j</t>
        </is>
      </c>
      <c r="I42" s="100" t="inlineStr">
        <is>
          <t>app/scripts/odoo_sync.py</t>
        </is>
      </c>
      <c r="J42" s="100" t="inlineStr">
        <is>
          <t>8.2, 6.6</t>
        </is>
      </c>
      <c r="K42" s="100" t="n"/>
      <c r="L42" s="100" t="n"/>
      <c r="M42" s="100" t="n"/>
    </row>
    <row r="43" ht="37.5" customHeight="1" s="52">
      <c r="A43" s="98" t="inlineStr">
        <is>
          <t>8.4</t>
        </is>
      </c>
      <c r="B43" s="99" t="inlineStr">
        <is>
          <t>Phase 8</t>
        </is>
      </c>
      <c r="C43" s="100" t="inlineStr">
        <is>
          <t>Frontend</t>
        </is>
      </c>
      <c r="D43" s="101" t="inlineStr">
        <is>
          <t>🔵 Normale</t>
        </is>
      </c>
      <c r="E43" s="100" t="inlineStr">
        <is>
          <t>Affichage devis/facture liés à une demande</t>
        </is>
      </c>
      <c r="F43" s="100" t="inlineStr">
        <is>
          <t>Section dédiée dans le détail de demande.</t>
        </is>
      </c>
      <c r="G43" s="102" t="inlineStr">
        <is>
          <t>À faire</t>
        </is>
      </c>
      <c r="H43" s="100" t="inlineStr">
        <is>
          <t>1j</t>
        </is>
      </c>
      <c r="I43" s="100" t="inlineStr">
        <is>
          <t>frontend/src/components/workspace/DemandeDetailDrawer.vue</t>
        </is>
      </c>
      <c r="J43" s="100" t="inlineStr">
        <is>
          <t>8.3</t>
        </is>
      </c>
      <c r="K43" s="100" t="n"/>
      <c r="L43" s="100" t="n"/>
      <c r="M43" s="100" t="n"/>
    </row>
    <row r="44" ht="37.5" customHeight="1" s="52">
      <c r="A44" s="98" t="inlineStr">
        <is>
          <t>9.1</t>
        </is>
      </c>
      <c r="B44" s="99" t="inlineStr">
        <is>
          <t>Phase 9</t>
        </is>
      </c>
      <c r="C44" s="100" t="inlineStr">
        <is>
          <t>Backend</t>
        </is>
      </c>
      <c r="D44" s="101" t="inlineStr">
        <is>
          <t>🟢 Normale</t>
        </is>
      </c>
      <c r="E44" s="100" t="inlineStr">
        <is>
          <t>Hook clôture PriseDeService → Odoo (F3)</t>
        </is>
      </c>
      <c r="F44" s="100" t="inlineStr">
        <is>
          <t>Best-effort synchrone + queue de secours, déclenché sur date_fin renseignée (feuille de temps).</t>
        </is>
      </c>
      <c r="G44" s="102" t="inlineStr">
        <is>
          <t>À faire</t>
        </is>
      </c>
      <c r="H44" s="100" t="inlineStr">
        <is>
          <t>1j</t>
        </is>
      </c>
      <c r="I44" s="100" t="inlineStr">
        <is>
          <t>app/routes/prises_de_service.py</t>
        </is>
      </c>
      <c r="J44" s="100" t="inlineStr">
        <is>
          <t>6.3, 6.5</t>
        </is>
      </c>
      <c r="K44" s="100" t="n"/>
      <c r="L44" s="100" t="n"/>
      <c r="M44" s="100" t="n"/>
    </row>
    <row r="45" ht="37.5" customHeight="1" s="52">
      <c r="A45" s="98" t="inlineStr">
        <is>
          <t>10.1</t>
        </is>
      </c>
      <c r="B45" s="99" t="inlineStr">
        <is>
          <t>Phase 10</t>
        </is>
      </c>
      <c r="C45" s="100" t="inlineStr">
        <is>
          <t>Backend</t>
        </is>
      </c>
      <c r="D45" s="101" t="inlineStr">
        <is>
          <t>🔵 Normale</t>
        </is>
      </c>
      <c r="E45" s="100" t="inlineStr">
        <is>
          <t>Sync lecture planning Odoo → local (F5)</t>
        </is>
      </c>
      <c r="F45" s="100" t="inlineStr">
        <is>
          <t>Nouveau modèle odoo_planning_slots + commande cron.</t>
        </is>
      </c>
      <c r="G45" s="102" t="inlineStr">
        <is>
          <t>À faire</t>
        </is>
      </c>
      <c r="H45" s="100" t="inlineStr">
        <is>
          <t>1.5j</t>
        </is>
      </c>
      <c r="I45" s="100" t="inlineStr">
        <is>
          <t>app/models/odoo.py · app/scripts/odoo_sync.py</t>
        </is>
      </c>
      <c r="J45" s="100" t="inlineStr">
        <is>
          <t>6.2, 6.6</t>
        </is>
      </c>
      <c r="K45" s="100" t="n"/>
      <c r="L45" s="100" t="n"/>
      <c r="M45" s="100" t="n"/>
    </row>
    <row r="46" ht="37.5" customHeight="1" s="52">
      <c r="A46" s="98" t="inlineStr">
        <is>
          <t>10.2</t>
        </is>
      </c>
      <c r="B46" s="99" t="inlineStr">
        <is>
          <t>Phase 10</t>
        </is>
      </c>
      <c r="C46" s="100" t="inlineStr">
        <is>
          <t>Backend</t>
        </is>
      </c>
      <c r="D46" s="101" t="inlineStr">
        <is>
          <t>🔵 Normale</t>
        </is>
      </c>
      <c r="E46" s="100" t="inlineStr">
        <is>
          <t>Action d'affectation PERMATEL → écriture Odoo</t>
        </is>
      </c>
      <c r="F46" s="100" t="inlineStr">
        <is>
          <t>Depuis une action utilisateur (assignation agent), écriture événementielle vers Odoo.</t>
        </is>
      </c>
      <c r="G46" s="102" t="inlineStr">
        <is>
          <t>À faire</t>
        </is>
      </c>
      <c r="H46" s="100" t="inlineStr">
        <is>
          <t>1j</t>
        </is>
      </c>
      <c r="I46" s="100" t="inlineStr">
        <is>
          <t>app/routes/ (à définir)</t>
        </is>
      </c>
      <c r="J46" s="100" t="inlineStr">
        <is>
          <t>10.1</t>
        </is>
      </c>
      <c r="K46" s="100" t="n"/>
      <c r="L46" s="100" t="n"/>
      <c r="M46" s="100" t="n"/>
    </row>
    <row r="47" ht="37.5" customHeight="1" s="52">
      <c r="A47" s="98" t="inlineStr">
        <is>
          <t>10.3</t>
        </is>
      </c>
      <c r="B47" s="99" t="inlineStr">
        <is>
          <t>Phase 10</t>
        </is>
      </c>
      <c r="C47" s="100" t="inlineStr">
        <is>
          <t>Frontend</t>
        </is>
      </c>
      <c r="D47" s="101" t="inlineStr">
        <is>
          <t>🔵 Normale</t>
        </is>
      </c>
      <c r="E47" s="100" t="inlineStr">
        <is>
          <t>Vue planning agents</t>
        </is>
      </c>
      <c r="F47" s="100" t="inlineStr">
        <is>
          <t>Lecture + actions d'affectation. EF à détailler après stabilisation des phases 6-9.</t>
        </is>
      </c>
      <c r="G47" s="102" t="inlineStr">
        <is>
          <t>À faire</t>
        </is>
      </c>
      <c r="H47" s="100" t="inlineStr">
        <is>
          <t>2j</t>
        </is>
      </c>
      <c r="I47" s="100" t="inlineStr">
        <is>
          <t>frontend/src/views/ (nouveau)</t>
        </is>
      </c>
      <c r="J47" s="100" t="inlineStr">
        <is>
          <t>10.2</t>
        </is>
      </c>
      <c r="K47" s="100" t="n"/>
      <c r="L47" s="100" t="n"/>
      <c r="M47" s="100" t="n"/>
    </row>
    <row r="48" ht="37.5" customHeight="1" s="52">
      <c r="A48" s="98" t="inlineStr">
        <is>
          <t>DOC-ODOO-1</t>
        </is>
      </c>
      <c r="B48" s="103" t="inlineStr">
        <is>
          <t>Documentation</t>
        </is>
      </c>
      <c r="C48" s="100" t="inlineStr">
        <is>
          <t>Documentation</t>
        </is>
      </c>
      <c r="D48" s="104" t="inlineStr">
        <is>
          <t>🟢 Normale</t>
        </is>
      </c>
      <c r="E48" s="105" t="inlineStr">
        <is>
          <t>Rédiger le plan d'intégration Odoo</t>
        </is>
      </c>
      <c r="F48" s="105" t="inlineStr">
        <is>
          <t>Analyse du besoin, benchmarks (Celery vs cron+queue, client Odoo), décisions d'architecture, phasage détaillé.</t>
        </is>
      </c>
      <c r="G48" s="106" t="inlineStr">
        <is>
          <t>Complété</t>
        </is>
      </c>
      <c r="H48" s="105" t="inlineStr">
        <is>
          <t>½j</t>
        </is>
      </c>
      <c r="I48" s="105" t="inlineStr">
        <is>
          <t>ODOO_INTEGRATION_PLAN.md (nouveau)</t>
        </is>
      </c>
      <c r="J48" s="105" t="n"/>
      <c r="K48" s="105" t="inlineStr">
        <is>
          <t>2026-07-27</t>
        </is>
      </c>
      <c r="L48" s="105" t="inlineStr">
        <is>
          <t>2026-07-27</t>
        </is>
      </c>
      <c r="M48" s="105" t="n"/>
    </row>
    <row r="49" ht="37.5" customHeight="1" s="52">
      <c r="A49" s="98" t="inlineStr">
        <is>
          <t>11.1</t>
        </is>
      </c>
      <c r="B49" s="103" t="inlineStr">
        <is>
          <t>Phase 11</t>
        </is>
      </c>
      <c r="C49" s="100" t="inlineStr">
        <is>
          <t>Backend</t>
        </is>
      </c>
      <c r="D49" s="104" t="inlineStr">
        <is>
          <t>🟡 Haute</t>
        </is>
      </c>
      <c r="E49" s="105" t="inlineStr">
        <is>
          <t>Migration d'extension telephony_events</t>
        </is>
      </c>
      <c r="F49" s="105" t="inlineStr">
        <is>
          <t>Ajout pbx_connector_id, call_direction, callee, agent_login, queue_id, recording_url, raw_payload (JSONB). event_type élargi String (garde-fou données, pas de recréation de table).</t>
        </is>
      </c>
      <c r="G49" s="106" t="inlineStr">
        <is>
          <t>Complété</t>
        </is>
      </c>
      <c r="H49" s="105" t="inlineStr">
        <is>
          <t>1j</t>
        </is>
      </c>
      <c r="I49" s="105" t="inlineStr">
        <is>
          <t>app/models/telephony_event.py · migrations/versions/</t>
        </is>
      </c>
      <c r="J49" s="105" t="n"/>
      <c r="K49" s="105" t="inlineStr">
        <is>
          <t>2026-07-27</t>
        </is>
      </c>
      <c r="L49" s="105" t="inlineStr">
        <is>
          <t>2026-07-27</t>
        </is>
      </c>
      <c r="M49" s="105" t="n"/>
    </row>
    <row r="50" ht="37.5" customHeight="1" s="52">
      <c r="A50" s="98" t="inlineStr">
        <is>
          <t>11.2</t>
        </is>
      </c>
      <c r="B50" s="103" t="inlineStr">
        <is>
          <t>Phase 11</t>
        </is>
      </c>
      <c r="C50" s="100" t="inlineStr">
        <is>
          <t>Backend</t>
        </is>
      </c>
      <c r="D50" s="104" t="inlineStr">
        <is>
          <t>🟡 Haute</t>
        </is>
      </c>
      <c r="E50" s="105" t="inlineStr">
        <is>
          <t>Modèles + migration pbx_connectors / pbx_domains_tenants</t>
        </is>
      </c>
      <c r="F50" s="105" t="inlineStr">
        <is>
          <t>Config connecteur par PBX (type String, host, port, identifiants EncryptedText) + routage domaine PBX -&gt; tenant.</t>
        </is>
      </c>
      <c r="G50" s="106" t="inlineStr">
        <is>
          <t>Complété</t>
        </is>
      </c>
      <c r="H50" s="105" t="inlineStr">
        <is>
          <t>1j</t>
        </is>
      </c>
      <c r="I50" s="105" t="inlineStr">
        <is>
          <t>app/models/pbx.py (nouveau) · migrations/versions/</t>
        </is>
      </c>
      <c r="J50" s="105" t="n"/>
      <c r="K50" s="105" t="inlineStr">
        <is>
          <t>2026-07-27</t>
        </is>
      </c>
      <c r="L50" s="105" t="inlineStr">
        <is>
          <t>2026-07-27</t>
        </is>
      </c>
      <c r="M50" s="105" t="n"/>
    </row>
    <row r="51" ht="37.5" customHeight="1" s="52">
      <c r="A51" s="98" t="inlineStr">
        <is>
          <t>11.3</t>
        </is>
      </c>
      <c r="B51" s="103" t="inlineStr">
        <is>
          <t>Phase 11</t>
        </is>
      </c>
      <c r="C51" s="100" t="inlineStr">
        <is>
          <t>Backend</t>
        </is>
      </c>
      <c r="D51" s="104" t="inlineStr">
        <is>
          <t>🟡 Haute</t>
        </is>
      </c>
      <c r="E51" s="105" t="inlineStr">
        <is>
          <t>Route POST /api/telephony/events/ingest</t>
        </is>
      </c>
      <c r="F51" s="105" t="inlineStr">
        <is>
          <t>Auth X-Connector-Token (pas JWT), résolution tenant_id via pbx_domain, persistance telephony_events.</t>
        </is>
      </c>
      <c r="G51" s="106" t="inlineStr">
        <is>
          <t>Complété</t>
        </is>
      </c>
      <c r="H51" s="105" t="inlineStr">
        <is>
          <t>1j</t>
        </is>
      </c>
      <c r="I51" s="105" t="inlineStr">
        <is>
          <t>app/routes/telephony.py (nouveau)</t>
        </is>
      </c>
      <c r="J51" s="105" t="inlineStr">
        <is>
          <t>11.1, 11.2</t>
        </is>
      </c>
      <c r="K51" s="105" t="inlineStr">
        <is>
          <t>2026-07-27</t>
        </is>
      </c>
      <c r="L51" s="105" t="inlineStr">
        <is>
          <t>2026-07-27</t>
        </is>
      </c>
      <c r="M51" s="105" t="n"/>
    </row>
    <row r="52" ht="37.5" customHeight="1" s="52">
      <c r="A52" s="98" t="inlineStr">
        <is>
          <t>11.4</t>
        </is>
      </c>
      <c r="B52" s="103" t="inlineStr">
        <is>
          <t>Phase 11</t>
        </is>
      </c>
      <c r="C52" s="100" t="inlineStr">
        <is>
          <t>Backend</t>
        </is>
      </c>
      <c r="D52" s="104" t="inlineStr">
        <is>
          <t>🟢 Normale</t>
        </is>
      </c>
      <c r="E52" s="105" t="inlineStr">
        <is>
          <t>Routes /api/telephony/kpis/{summary,queues,agents}</t>
        </is>
      </c>
      <c r="F52" s="105" t="inlineStr">
        <is>
          <t>Agrégats SQL sur telephony_events (temps moyen de réponse, taux de décroché, volumes par queue/agent). @tenant_required.</t>
        </is>
      </c>
      <c r="G52" s="106" t="inlineStr">
        <is>
          <t>Complété</t>
        </is>
      </c>
      <c r="H52" s="105" t="inlineStr">
        <is>
          <t>1.5j</t>
        </is>
      </c>
      <c r="I52" s="105" t="inlineStr">
        <is>
          <t>app/routes/telephony.py</t>
        </is>
      </c>
      <c r="J52" s="105" t="inlineStr">
        <is>
          <t>11.1</t>
        </is>
      </c>
      <c r="K52" s="105" t="inlineStr">
        <is>
          <t>2026-07-27</t>
        </is>
      </c>
      <c r="L52" s="105" t="inlineStr">
        <is>
          <t>2026-07-27</t>
        </is>
      </c>
      <c r="M52" s="105" t="n"/>
    </row>
    <row r="53" ht="37.5" customHeight="1" s="52">
      <c r="A53" s="98" t="inlineStr">
        <is>
          <t>11.5</t>
        </is>
      </c>
      <c r="B53" s="103" t="inlineStr">
        <is>
          <t>Phase 11</t>
        </is>
      </c>
      <c r="C53" s="100" t="inlineStr">
        <is>
          <t>Backend</t>
        </is>
      </c>
      <c r="D53" s="104" t="inlineStr">
        <is>
          <t>🟢 Normale</t>
        </is>
      </c>
      <c r="E53" s="105" t="inlineStr">
        <is>
          <t>Route GET /api/telephony/active-calls</t>
        </is>
      </c>
      <c r="F53" s="105" t="inlineStr">
        <is>
          <t>Appels en cours : état initial au chargement de la page (Phase 13) ; le WebSocket (Phase 11bis) pousse les deltas ensuite.</t>
        </is>
      </c>
      <c r="G53" s="106" t="inlineStr">
        <is>
          <t>Complété</t>
        </is>
      </c>
      <c r="H53" s="105" t="inlineStr">
        <is>
          <t>½j</t>
        </is>
      </c>
      <c r="I53" s="105" t="inlineStr">
        <is>
          <t>app/routes/telephony.py</t>
        </is>
      </c>
      <c r="J53" s="105" t="inlineStr">
        <is>
          <t>11.1</t>
        </is>
      </c>
      <c r="K53" s="105" t="inlineStr">
        <is>
          <t>2026-07-27</t>
        </is>
      </c>
      <c r="L53" s="105" t="inlineStr">
        <is>
          <t>2026-07-27</t>
        </is>
      </c>
      <c r="M53" s="105" t="n"/>
    </row>
    <row r="54" ht="37.5" customHeight="1" s="52">
      <c r="A54" s="98" t="inlineStr">
        <is>
          <t>11.6</t>
        </is>
      </c>
      <c r="B54" s="103" t="inlineStr">
        <is>
          <t>Phase 11</t>
        </is>
      </c>
      <c r="C54" s="100" t="inlineStr">
        <is>
          <t>Backend</t>
        </is>
      </c>
      <c r="D54" s="104" t="inlineStr">
        <is>
          <t>🟢 Normale</t>
        </is>
      </c>
      <c r="E54" s="105" t="inlineStr">
        <is>
          <t>Route /api/settings/telephony (CRUD pbx_connectors)</t>
        </is>
      </c>
      <c r="F54" s="105" t="inlineStr">
        <is>
          <t>Calque de /api/settings/smtp. Écriture @tenant_admin_required.</t>
        </is>
      </c>
      <c r="G54" s="106" t="inlineStr">
        <is>
          <t>Complété</t>
        </is>
      </c>
      <c r="H54" s="105" t="inlineStr">
        <is>
          <t>1j</t>
        </is>
      </c>
      <c r="I54" s="105" t="inlineStr">
        <is>
          <t>app/routes/settings.py</t>
        </is>
      </c>
      <c r="J54" s="105" t="inlineStr">
        <is>
          <t>11.2</t>
        </is>
      </c>
      <c r="K54" s="105" t="inlineStr">
        <is>
          <t>2026-07-27</t>
        </is>
      </c>
      <c r="L54" s="105" t="inlineStr">
        <is>
          <t>2026-07-27</t>
        </is>
      </c>
      <c r="M54" s="105" t="n"/>
    </row>
    <row r="55" ht="37.5" customHeight="1" s="52">
      <c r="A55" s="98" t="inlineStr">
        <is>
          <t>11.7</t>
        </is>
      </c>
      <c r="B55" s="103" t="inlineStr">
        <is>
          <t>Phase 11</t>
        </is>
      </c>
      <c r="C55" s="100" t="inlineStr">
        <is>
          <t>Backend</t>
        </is>
      </c>
      <c r="D55" s="104" t="inlineStr">
        <is>
          <t>🟢 Normale</t>
        </is>
      </c>
      <c r="E55" s="105" t="inlineStr">
        <is>
          <t>config_state.telephony_configured dans tenant_features()</t>
        </is>
      </c>
      <c r="F55" s="105" t="inlineStr">
        <is>
          <t>Passe channel_telephonie de flag purement cosmétique à un vrai état de config (pbx_domains_tenants actif pour ce tenant).</t>
        </is>
      </c>
      <c r="G55" s="106" t="inlineStr">
        <is>
          <t>Complété</t>
        </is>
      </c>
      <c r="H55" s="105" t="inlineStr">
        <is>
          <t>½j</t>
        </is>
      </c>
      <c r="I55" s="105" t="inlineStr">
        <is>
          <t>app/services/tenant_features.py</t>
        </is>
      </c>
      <c r="J55" s="105" t="inlineStr">
        <is>
          <t>11.2</t>
        </is>
      </c>
      <c r="K55" s="105" t="inlineStr">
        <is>
          <t>2026-07-27</t>
        </is>
      </c>
      <c r="L55" s="105" t="inlineStr">
        <is>
          <t>2026-07-27</t>
        </is>
      </c>
      <c r="M55" s="105" t="n"/>
    </row>
    <row r="56" ht="37.5" customHeight="1" s="52">
      <c r="A56" s="98" t="inlineStr">
        <is>
          <t>11bis.1</t>
        </is>
      </c>
      <c r="B56" s="99" t="inlineStr">
        <is>
          <t>Phase 11bis</t>
        </is>
      </c>
      <c r="C56" s="100" t="inlineStr">
        <is>
          <t>Infra</t>
        </is>
      </c>
      <c r="D56" s="101" t="inlineStr">
        <is>
          <t>🟡 Haute</t>
        </is>
      </c>
      <c r="E56" s="100" t="inlineStr">
        <is>
          <t>Ajouter flask-socketio + worker Gunicorn eventlet/gevent</t>
        </is>
      </c>
      <c r="F56" s="100" t="inlineStr">
        <is>
          <t>Complété le 2026-07-27 : flask-socketio==5.6.1 + eventlet==0.36.1, GUNICORN_WORKER_CLASS=eventlet (entrypoint.sh, docker-compose.yml). Test de charge Docker réel effectué — voir TELEPHONIE_INTEGRATION_PLAN.md §7 (bug flask-socketio 5.4.1/Flask 3.1 détecté+corrigé, patch psycopg2_patcher.make_psycopg_green() ajouté, SOCKETIO_ASYNC_MODE ajouté pour ne pas casser les tests locaux).</t>
        </is>
      </c>
      <c r="G56" s="102" t="inlineStr">
        <is>
          <t>Complété</t>
        </is>
      </c>
      <c r="H56" s="100" t="inlineStr">
        <is>
          <t>1j</t>
        </is>
      </c>
      <c r="I56" s="100" t="inlineStr">
        <is>
          <t>backend/requirements.txt · docker-compose.yml · entrypoint.sh</t>
        </is>
      </c>
      <c r="J56" s="100" t="inlineStr">
        <is>
          <t>11.1</t>
        </is>
      </c>
      <c r="K56" s="100" t="n"/>
      <c r="L56" s="100" t="n"/>
      <c r="M56" s="100" t="n"/>
    </row>
    <row r="57" ht="37.5" customHeight="1" s="52">
      <c r="A57" s="98" t="inlineStr">
        <is>
          <t>11bis.2</t>
        </is>
      </c>
      <c r="B57" s="99" t="inlineStr">
        <is>
          <t>Phase 11bis</t>
        </is>
      </c>
      <c r="C57" s="100" t="inlineStr">
        <is>
          <t>Backend</t>
        </is>
      </c>
      <c r="D57" s="101" t="inlineStr">
        <is>
          <t>🟡 Haute</t>
        </is>
      </c>
      <c r="E57" s="100" t="inlineStr">
        <is>
          <t>Namespace Socket.IO /telephony (auth JWT + room par tenant)</t>
        </is>
      </c>
      <c r="F57" s="100" t="inlineStr">
        <is>
          <t>Complété le 2026-07-27 : app/sockets/telephony.py — TelephonyNamespace, auth JWT en query string (?token=), résolution tenant_id + join_room. Validé : 20/20 connexions concurrentes OK en test de charge.</t>
        </is>
      </c>
      <c r="G57" s="102" t="inlineStr">
        <is>
          <t>Complété</t>
        </is>
      </c>
      <c r="H57" s="100" t="inlineStr">
        <is>
          <t>1j</t>
        </is>
      </c>
      <c r="I57" s="100" t="inlineStr">
        <is>
          <t>app/routes/telephony_socket.py (nouveau)</t>
        </is>
      </c>
      <c r="J57" s="100" t="inlineStr">
        <is>
          <t>11bis.1</t>
        </is>
      </c>
      <c r="K57" s="100" t="n"/>
      <c r="L57" s="100" t="n"/>
      <c r="M57" s="100" t="n"/>
    </row>
    <row r="58" ht="37.5" customHeight="1" s="52">
      <c r="A58" s="98" t="inlineStr">
        <is>
          <t>11bis.3</t>
        </is>
      </c>
      <c r="B58" s="99" t="inlineStr">
        <is>
          <t>Phase 11bis</t>
        </is>
      </c>
      <c r="C58" s="100" t="inlineStr">
        <is>
          <t>Backend</t>
        </is>
      </c>
      <c r="D58" s="101" t="inlineStr">
        <is>
          <t>🟡 Haute</t>
        </is>
      </c>
      <c r="E58" s="100" t="inlineStr">
        <is>
          <t>Redis comme message queue Flask-SocketIO</t>
        </is>
      </c>
      <c r="F58" s="100" t="inlineStr">
        <is>
          <t>Complété le 2026-07-27 : socketio.init_app(..., message_queue=REDIS_URL) dans app/__init__.py.</t>
        </is>
      </c>
      <c r="G58" s="102" t="inlineStr">
        <is>
          <t>Complété</t>
        </is>
      </c>
      <c r="H58" s="100" t="inlineStr">
        <is>
          <t>½j</t>
        </is>
      </c>
      <c r="I58" s="100" t="inlineStr">
        <is>
          <t>app/__init__.py</t>
        </is>
      </c>
      <c r="J58" s="100" t="inlineStr">
        <is>
          <t>11bis.1</t>
        </is>
      </c>
      <c r="K58" s="100" t="n"/>
      <c r="L58" s="100" t="n"/>
      <c r="M58" s="100" t="n"/>
    </row>
    <row r="59" ht="37.5" customHeight="1" s="52">
      <c r="A59" s="98" t="inlineStr">
        <is>
          <t>11bis.4</t>
        </is>
      </c>
      <c r="B59" s="99" t="inlineStr">
        <is>
          <t>Phase 11bis</t>
        </is>
      </c>
      <c r="C59" s="100" t="inlineStr">
        <is>
          <t>Backend</t>
        </is>
      </c>
      <c r="D59" s="101" t="inlineStr">
        <is>
          <t>🟢 Normale</t>
        </is>
      </c>
      <c r="E59" s="100" t="inlineStr">
        <is>
          <t>Diffusion des événements à l'ingestion</t>
        </is>
      </c>
      <c r="F59" s="100" t="inlineStr">
        <is>
          <t>Complété le 2026-07-27 : socketio.emit("telephony_event", event.to_dict(), room=str(event.tenant_id), namespace="/telephony") dans POST /events/ingest, best-effort (une panne de diffusion WS ne fait jamais echouer l ingestion). Panneau live cote frontend : SettingsTelephony.vue (composable useTelephonySocket), filtrable par event_type, masquable. 2 nouveaux tests backend.</t>
        </is>
      </c>
      <c r="G59" s="102" t="inlineStr">
        <is>
          <t>Complété</t>
        </is>
      </c>
      <c r="H59" s="100" t="inlineStr">
        <is>
          <t>½j</t>
        </is>
      </c>
      <c r="I59" s="100" t="inlineStr">
        <is>
          <t>app/routes/telephony.py</t>
        </is>
      </c>
      <c r="J59" s="100" t="inlineStr">
        <is>
          <t>11.3, 11bis.2, 11bis.3</t>
        </is>
      </c>
      <c r="K59" s="100" t="n"/>
      <c r="L59" s="100" t="n"/>
      <c r="M59" s="100" t="n"/>
    </row>
    <row r="60" ht="37.5" customHeight="1" s="52">
      <c r="A60" s="98" t="inlineStr">
        <is>
          <t>12.1</t>
        </is>
      </c>
      <c r="B60" s="99" t="inlineStr">
        <is>
          <t>Phase 12</t>
        </is>
      </c>
      <c r="C60" s="100" t="inlineStr">
        <is>
          <t>Infra</t>
        </is>
      </c>
      <c r="D60" s="101" t="inlineStr">
        <is>
          <t>🟡 Haute</t>
        </is>
      </c>
      <c r="E60" s="100" t="inlineStr">
        <is>
          <t>Process connecteur téléphonie UNIQUE (Docker, service dédié)</t>
        </is>
      </c>
      <c r="F60" s="100" t="inlineStr">
        <is>
          <t>Complété le 2026-07-27 : connector/core_connector.py, process Docker séparé (connector/Dockerfile), service opt-in docker-compose.yml (profiles: [telephony]), healthcheck via fichier heartbeat.</t>
        </is>
      </c>
      <c r="G60" s="102" t="inlineStr">
        <is>
          <t>Complété</t>
        </is>
      </c>
      <c r="H60" s="100" t="inlineStr">
        <is>
          <t>1j</t>
        </is>
      </c>
      <c r="I60" s="100" t="inlineStr">
        <is>
          <t>docker-compose.yml · telephony-connector/ (nouveau)</t>
        </is>
      </c>
      <c r="J60" s="100" t="inlineStr">
        <is>
          <t>11.3</t>
        </is>
      </c>
      <c r="K60" s="100" t="n"/>
      <c r="L60" s="100" t="n"/>
      <c r="M60" s="100" t="n"/>
    </row>
    <row r="61" ht="37.5" customHeight="1" s="52">
      <c r="A61" s="98" t="inlineStr">
        <is>
          <t>12.2</t>
        </is>
      </c>
      <c r="B61" s="99" t="inlineStr">
        <is>
          <t>Phase 12</t>
        </is>
      </c>
      <c r="C61" s="100" t="inlineStr">
        <is>
          <t>Backend</t>
        </is>
      </c>
      <c r="D61" s="101" t="inlineStr">
        <is>
          <t>🟡 Haute</t>
        </is>
      </c>
      <c r="E61" s="100" t="inlineStr">
        <is>
          <t>Interface PBXAdapter + Core Connector</t>
        </is>
      </c>
      <c r="F61" s="100" t="inlineStr">
        <is>
          <t>Complété le 2026-07-27 : adapters/base.py (contrat PBXAdapter run()/stop()), core_connector.py (boucle de réconciliation : démarre/arrête une greenlet par pbx_connectors actif, jamais de crash propagé entre adapters).</t>
        </is>
      </c>
      <c r="G61" s="102" t="inlineStr">
        <is>
          <t>Complété</t>
        </is>
      </c>
      <c r="H61" s="100" t="inlineStr">
        <is>
          <t>1.5j</t>
        </is>
      </c>
      <c r="I61" s="100" t="inlineStr">
        <is>
          <t>telephony-connector/core.py (nouveau)</t>
        </is>
      </c>
      <c r="J61" s="100" t="inlineStr">
        <is>
          <t>12.1</t>
        </is>
      </c>
      <c r="K61" s="100" t="n"/>
      <c r="L61" s="100" t="n"/>
      <c r="M61" s="100" t="n"/>
    </row>
    <row r="62" ht="37.5" customHeight="1" s="52">
      <c r="A62" s="98" t="inlineStr">
        <is>
          <t>12.3</t>
        </is>
      </c>
      <c r="B62" s="99" t="inlineStr">
        <is>
          <t>Phase 12</t>
        </is>
      </c>
      <c r="C62" s="100" t="inlineStr">
        <is>
          <t>Backend</t>
        </is>
      </c>
      <c r="D62" s="101" t="inlineStr">
        <is>
          <t>🟡 Haute</t>
        </is>
      </c>
      <c r="E62" s="100" t="inlineStr">
        <is>
          <t>ESLAdapter (FusionPBX/FreeSWITCH)</t>
        </is>
      </c>
      <c r="F62" s="100" t="inlineStr">
        <is>
          <t>Complété le 2026-07-27 : adapters/esl_adapter.py — bibliothèque greenswitch (gevent), CHANNEL_CREATE/PROGRESS_MEDIA/ANSWER/HANGUP_COMPLETE + CUSTOM callcenter::info, reconnexion avec backoff exponentiel borné. Mapping CC-* à valider contre un FusionPBX réel (accès de test disponible) — voir plan §8.3.</t>
        </is>
      </c>
      <c r="G62" s="102" t="inlineStr">
        <is>
          <t>Complété</t>
        </is>
      </c>
      <c r="H62" s="100" t="inlineStr">
        <is>
          <t>2j</t>
        </is>
      </c>
      <c r="I62" s="100" t="inlineStr">
        <is>
          <t>telephony-connector/adapters/esl.py (nouveau)</t>
        </is>
      </c>
      <c r="J62" s="100" t="inlineStr">
        <is>
          <t>12.2</t>
        </is>
      </c>
      <c r="K62" s="100" t="n"/>
      <c r="L62" s="100" t="n"/>
      <c r="M62" s="100" t="n"/>
    </row>
    <row r="63" ht="37.5" customHeight="1" s="52">
      <c r="A63" s="98" t="inlineStr">
        <is>
          <t>12.4</t>
        </is>
      </c>
      <c r="B63" s="99" t="inlineStr">
        <is>
          <t>Phase 12</t>
        </is>
      </c>
      <c r="C63" s="100" t="inlineStr">
        <is>
          <t>Backend</t>
        </is>
      </c>
      <c r="D63" s="101" t="inlineStr">
        <is>
          <t>🟢 Normale</t>
        </is>
      </c>
      <c r="E63" s="100" t="inlineStr">
        <is>
          <t>Normalizer + émetteur vers l'API</t>
        </is>
      </c>
      <c r="F63" s="100" t="inlineStr">
        <is>
          <t>Complété le 2026-07-27 : normalizer.py (fonctions pures, 10 tests unitaires) + ingest_client.py (POST /api/telephony/events/ingest).</t>
        </is>
      </c>
      <c r="G63" s="102" t="inlineStr">
        <is>
          <t>Complété</t>
        </is>
      </c>
      <c r="H63" s="100" t="inlineStr">
        <is>
          <t>1j</t>
        </is>
      </c>
      <c r="I63" s="100" t="inlineStr">
        <is>
          <t>telephony-connector/normalizer.py (nouveau)</t>
        </is>
      </c>
      <c r="J63" s="100" t="inlineStr">
        <is>
          <t>12.3, 11.3</t>
        </is>
      </c>
      <c r="K63" s="100" t="n"/>
      <c r="L63" s="100" t="n"/>
      <c r="M63" s="100" t="n"/>
    </row>
    <row r="64" ht="37.5" customHeight="1" s="52">
      <c r="A64" s="98" t="inlineStr">
        <is>
          <t>12.5</t>
        </is>
      </c>
      <c r="B64" s="99" t="inlineStr">
        <is>
          <t>Phase 12</t>
        </is>
      </c>
      <c r="C64" s="100" t="inlineStr">
        <is>
          <t>Backend</t>
        </is>
      </c>
      <c r="D64" s="101" t="inlineStr">
        <is>
          <t>🟢 Normale</t>
        </is>
      </c>
      <c r="E64" s="100" t="inlineStr">
        <is>
          <t>Résilience connecteur (reconnexion, backoff, file Redis)</t>
        </is>
      </c>
      <c r="F64" s="100" t="inlineStr">
        <is>
          <t>En cours le 2026-07-27 : reconnexion + backoff exponentiel implémentés (ESLAdapter). Restant : file Redis pour absorber les pics/pannes d'ingestion prolongées — actuellement un échec d'envoi est loggé et l'événement perdu (pas de retry durable).</t>
        </is>
      </c>
      <c r="G64" s="102" t="inlineStr">
        <is>
          <t>En cours</t>
        </is>
      </c>
      <c r="H64" s="100" t="inlineStr">
        <is>
          <t>1.5j</t>
        </is>
      </c>
      <c r="I64" s="100" t="inlineStr">
        <is>
          <t>telephony-connector/core.py</t>
        </is>
      </c>
      <c r="J64" s="100" t="inlineStr">
        <is>
          <t>12.2</t>
        </is>
      </c>
      <c r="K64" s="100" t="n"/>
      <c r="L64" s="100" t="n"/>
      <c r="M64" s="100" t="n"/>
    </row>
    <row r="65" ht="37.5" customHeight="1" s="52">
      <c r="A65" s="98" t="inlineStr">
        <is>
          <t>12.6</t>
        </is>
      </c>
      <c r="B65" s="99" t="inlineStr">
        <is>
          <t>Phase 12</t>
        </is>
      </c>
      <c r="C65" s="100" t="inlineStr">
        <is>
          <t>Backend</t>
        </is>
      </c>
      <c r="D65" s="101" t="inlineStr">
        <is>
          <t>🔵 Normale</t>
        </is>
      </c>
      <c r="E65" s="100" t="inlineStr">
        <is>
          <t>Configuration à chaud du connecteur</t>
        </is>
      </c>
      <c r="F65" s="100" t="inlineStr">
        <is>
          <t>Complété le 2026-07-27 : GET /api/telephony/connectors/config (nouvel endpoint backend, auth X-Connector-Token) + rechargement périodique (CONFIG_REFRESH_SECONDS, défaut 60s) sans redémarrage du connecteur.</t>
        </is>
      </c>
      <c r="G65" s="102" t="inlineStr">
        <is>
          <t>Complété</t>
        </is>
      </c>
      <c r="H65" s="100" t="inlineStr">
        <is>
          <t>1j</t>
        </is>
      </c>
      <c r="I65" s="100" t="inlineStr">
        <is>
          <t>telephony-connector/config.py (nouveau)</t>
        </is>
      </c>
      <c r="J65" s="100" t="inlineStr">
        <is>
          <t>12.2, 11.6</t>
        </is>
      </c>
      <c r="K65" s="100" t="n"/>
      <c r="L65" s="100" t="n"/>
      <c r="M65" s="100" t="n"/>
    </row>
    <row r="66" ht="37.5" customHeight="1" s="52">
      <c r="A66" s="98" t="inlineStr">
        <is>
          <t>12.7</t>
        </is>
      </c>
      <c r="B66" s="99" t="inlineStr">
        <is>
          <t>Phase 12</t>
        </is>
      </c>
      <c r="C66" s="100" t="inlineStr">
        <is>
          <t>Frontend</t>
        </is>
      </c>
      <c r="D66" s="101" t="inlineStr">
        <is>
          <t>🟢 Normale</t>
        </is>
      </c>
      <c r="E66" s="100" t="inlineStr">
        <is>
          <t>Pivot : connecteur PBX tenant-scopé (migration + backend)</t>
        </is>
      </c>
      <c r="F66" s="100" t="inlineStr">
        <is>
          <t>Complété le 2026-07-27 : PbxConnector devient tenant-scopé (tenant_id NOT NULL, comme SmtpSetting) au lieu de ressource globale partagée entre tenants — revu le jour même suite à une clarification produit. Migration e7f8a9b0c1d2 (DROP/CREATE, garde-fou données), pbx_domains_tenants renommée pbx_connector_domains (perd son tenant_id propre), routes/telephony.py : CRUD connecteurs déplacé de @role_required(ADMIN) vers @tenant_admin_required. Remplace la tâche 12.7 initiale (UI admin globale /pbx-connectors, abandonnée).</t>
        </is>
      </c>
      <c r="G66" s="102" t="inlineStr">
        <is>
          <t>Complété</t>
        </is>
      </c>
    </row>
    <row r="67" ht="37.5" customHeight="1" s="52">
      <c r="A67" s="98" t="inlineStr">
        <is>
          <t>12.8</t>
        </is>
      </c>
      <c r="B67" s="99" t="inlineStr">
        <is>
          <t>Phase 12</t>
        </is>
      </c>
      <c r="C67" s="100" t="inlineStr">
        <is>
          <t>Frontend</t>
        </is>
      </c>
      <c r="D67" s="101" t="inlineStr">
        <is>
          <t>🟢 Normale</t>
        </is>
      </c>
      <c r="E67" s="100" t="inlineStr">
        <is>
          <t>UI fusionnée : connecteur + domaines + statut + Sync (Paramètres &gt; Téléphonie)</t>
        </is>
      </c>
      <c r="F67" s="100" t="inlineStr">
        <is>
          <t>Complété le 2026-07-27 : SettingsTelephony.vue réécrit — CRUD connecteur PBX (host/port/identifiants), gestion domaines/queues, sous-ligne dépliable par connecteur (statut live is_connected/last_seen_at/last_error), bouton Sync. Remplace PbxConnectorsView.vue (page globale admin, supprimée) + l'ancienne version read-only de cette tâche. /pbx-connectors redirige vers /parameters?tab=telephony.</t>
        </is>
      </c>
      <c r="G67" s="102" t="inlineStr">
        <is>
          <t>Complété</t>
        </is>
      </c>
    </row>
    <row r="68" ht="37.5" customHeight="1" s="52">
      <c r="A68" s="98" t="inlineStr">
        <is>
          <t>12.9</t>
        </is>
      </c>
      <c r="B68" s="99" t="inlineStr">
        <is>
          <t>Phase 12</t>
        </is>
      </c>
      <c r="C68" s="100" t="inlineStr">
        <is>
          <t>Backend/Connecteur</t>
        </is>
      </c>
      <c r="D68" s="101" t="inlineStr">
        <is>
          <t>🟢 Normale</t>
        </is>
      </c>
      <c r="E68" s="100" t="inlineStr">
        <is>
          <t>Sync temps réel (Redis pub/sub) + heartbeat de statut</t>
        </is>
      </c>
      <c r="F68" s="100" t="inlineStr">
        <is>
          <t>Complété le 2026-07-27 : POST /connectors/&lt;id&gt;/sync (bump sync_requested_at + publish Redis 'telephony:sync') ; Core Connector abonné en tâche de fond (_SyncListener), force_reconnect() sur l'adapter concerné en quelques secondes. Filet de secours si Redis indisponible : sync_requested_at repris au prochain sondage périodique. POST /connectors/status (heartbeat à chaque cycle de réconciliation) alimente is_connected/last_seen_at/last_error, affichés en sous-ligne adapter dans l'UI.</t>
        </is>
      </c>
      <c r="G68" s="102" t="inlineStr">
        <is>
          <t>Complété</t>
        </is>
      </c>
    </row>
    <row r="69" ht="37.5" customHeight="1" s="52">
      <c r="A69" s="51" t="inlineStr">
        <is>
          <t>12.10</t>
        </is>
      </c>
      <c r="B69" s="51" t="inlineStr">
        <is>
          <t>Phase 12</t>
        </is>
      </c>
      <c r="C69" s="51" t="inlineStr">
        <is>
          <t>Connecteur</t>
        </is>
      </c>
      <c r="D69" s="51" t="inlineStr">
        <is>
          <t>Haute</t>
        </is>
      </c>
      <c r="E69" s="51" t="inlineStr">
        <is>
          <t>Fix deadlock reconnexion concurrente (ESLAdapter)</t>
        </is>
      </c>
      <c r="F69" s="51" t="inlineStr">
        <is>
          <t>Complete le 2026-07-28 : force_reconnect()/stop() ne touchent plus _esl directement (course avec run() sur ESLProtocol.stop() sans timeout, bloquait le connecteur apres Sync). _hard_disconnect() ferme la socket directement, seule la greenlet run() y touche. 5 tests de regression.</t>
        </is>
      </c>
      <c r="G69" s="51" t="inlineStr">
        <is>
          <t>Complété</t>
        </is>
      </c>
    </row>
    <row r="70">
      <c r="A70" s="51" t="inlineStr">
        <is>
          <t>12.11</t>
        </is>
      </c>
      <c r="B70" s="51" t="inlineStr">
        <is>
          <t>Phase 12</t>
        </is>
      </c>
      <c r="C70" s="51" t="inlineStr">
        <is>
          <t>Frontend/Nginx</t>
        </is>
      </c>
      <c r="D70" s="51" t="inlineStr">
        <is>
          <t>Haute</t>
        </is>
      </c>
      <c r="E70" s="51" t="inlineStr">
        <is>
          <t>Fix routage WebSocket Socket.IO (panneau live bloque Deconnecte)</t>
        </is>
      </c>
      <c r="F70" s="51" t="inlineStr">
        <is>
          <t>Complete le 2026-07-28 : /socket.io par defaut non proxifie par Nginx (tombait dans le fallback SPA). Deplace sous /api/socket.io (same-origin) + en-tetes Upgrade/Connection ajoutes a la location /api/. Valide de bout en bout contre une vraie stack Docker (nginx + gunicorn eventlet), pas seulement en test unitaire.</t>
        </is>
      </c>
      <c r="G70" s="51" t="inlineStr">
        <is>
          <t>Complété</t>
        </is>
      </c>
    </row>
    <row r="71">
      <c r="A71" s="98" t="inlineStr">
        <is>
          <t>13.1</t>
        </is>
      </c>
      <c r="B71" s="99" t="inlineStr">
        <is>
          <t>Phase 13 (plan initial)</t>
        </is>
      </c>
      <c r="C71" s="100" t="inlineStr">
        <is>
          <t>Frontend</t>
        </is>
      </c>
      <c r="D71" s="101" t="inlineStr">
        <is>
          <t>🟢 Normale</t>
        </is>
      </c>
      <c r="E71" s="100" t="inlineStr">
        <is>
          <t>SupervisionTelephonieView.vue</t>
        </is>
      </c>
      <c r="F71" s="100" t="inlineStr">
        <is>
          <t>Calque de SupervisionView.vue existant. Charge KPIs historisés + appels actifs.</t>
        </is>
      </c>
      <c r="G71" s="102" t="inlineStr">
        <is>
          <t>Complété</t>
        </is>
      </c>
      <c r="H71" s="100" t="inlineStr">
        <is>
          <t>1j</t>
        </is>
      </c>
      <c r="I71" s="100" t="inlineStr">
        <is>
          <t>frontend/src/views/SupervisionTelephonieView.vue (nouveau)</t>
        </is>
      </c>
      <c r="J71" s="100" t="inlineStr">
        <is>
          <t>11.4, 11.5</t>
        </is>
      </c>
      <c r="K71" s="100" t="n"/>
      <c r="L71" s="100" t="n"/>
      <c r="M71" s="100" t="inlineStr">
        <is>
          <t>[Audit 14/08] objectif atteint via l'implémentation réelle (voir Phase 13, lignes 13.1/13.2 plus bas) — architecture différente du plan initial (pas de store Pinia useTelephonyStore ni de composants séparés TelephonyKpiCards/ActiveCallsTable/AgentsGrid : tout fusionné dans SupervisionTelephony.vue, avec état local + useTelephonySocket directement).</t>
        </is>
      </c>
    </row>
    <row r="72">
      <c r="A72" s="98" t="inlineStr">
        <is>
          <t>13.2</t>
        </is>
      </c>
      <c r="B72" s="99" t="inlineStr">
        <is>
          <t>Phase 13 (plan initial)</t>
        </is>
      </c>
      <c r="C72" s="100" t="inlineStr">
        <is>
          <t>Frontend</t>
        </is>
      </c>
      <c r="D72" s="101" t="inlineStr">
        <is>
          <t>🟢 Normale</t>
        </is>
      </c>
      <c r="E72" s="100" t="inlineStr">
        <is>
          <t>Composable useTelephonySocket</t>
        </is>
      </c>
      <c r="F72" s="100" t="inlineStr">
        <is>
          <t>Connexion WebSocket (namespace /telephony), auth JWT à la connexion, rejoint la room du tenant actif, reconnexion auto. Remplace le polling initialement envisagé (décision révisée : WebSocket retenu).</t>
        </is>
      </c>
      <c r="G72" s="102" t="inlineStr">
        <is>
          <t>Complété</t>
        </is>
      </c>
      <c r="H72" s="100" t="inlineStr">
        <is>
          <t>½j</t>
        </is>
      </c>
      <c r="I72" s="100" t="inlineStr">
        <is>
          <t>frontend/src/composables/useTelephonySocket.js (nouveau)</t>
        </is>
      </c>
      <c r="J72" s="100" t="inlineStr">
        <is>
          <t>11.5, 11bis.2</t>
        </is>
      </c>
      <c r="K72" s="100" t="n"/>
      <c r="L72" s="100" t="n"/>
      <c r="M72" s="100" t="inlineStr">
        <is>
          <t>[Audit 14/08] objectif atteint via l'implémentation réelle (voir Phase 13, lignes 13.1/13.2 plus bas) — architecture différente du plan initial (pas de store Pinia useTelephonyStore ni de composants séparés TelephonyKpiCards/ActiveCallsTable/AgentsGrid : tout fusionné dans SupervisionTelephony.vue, avec état local + useTelephonySocket directement).</t>
        </is>
      </c>
    </row>
    <row r="73">
      <c r="A73" s="98" t="inlineStr">
        <is>
          <t>13.3</t>
        </is>
      </c>
      <c r="B73" s="99" t="inlineStr">
        <is>
          <t>Phase 13 (plan initial)</t>
        </is>
      </c>
      <c r="C73" s="100" t="inlineStr">
        <is>
          <t>Frontend</t>
        </is>
      </c>
      <c r="D73" s="101" t="inlineStr">
        <is>
          <t>🟢 Normale</t>
        </is>
      </c>
      <c r="E73" s="100" t="inlineStr">
        <is>
          <t>Store Pinia useTelephonyStore</t>
        </is>
      </c>
      <c r="F73" s="100" t="inlineStr">
        <is>
          <t>État activeCalls/alerts. Actions addOrUpdateCall, removeCall, pushAlert.</t>
        </is>
      </c>
      <c r="G73" s="102" t="inlineStr">
        <is>
          <t>Complété</t>
        </is>
      </c>
      <c r="H73" s="100" t="inlineStr">
        <is>
          <t>½j</t>
        </is>
      </c>
      <c r="I73" s="100" t="inlineStr">
        <is>
          <t>frontend/src/store/telephony.js (nouveau)</t>
        </is>
      </c>
      <c r="J73" s="100" t="inlineStr">
        <is>
          <t>13.2</t>
        </is>
      </c>
      <c r="K73" s="100" t="n"/>
      <c r="L73" s="100" t="n"/>
      <c r="M73" s="100" t="inlineStr">
        <is>
          <t>[Audit 14/08] objectif atteint via l'implémentation réelle (voir Phase 13, lignes 13.1/13.2 plus bas) — architecture différente du plan initial (pas de store Pinia useTelephonyStore ni de composants séparés TelephonyKpiCards/ActiveCallsTable/AgentsGrid : tout fusionné dans SupervisionTelephony.vue, avec état local + useTelephonySocket directement).</t>
        </is>
      </c>
    </row>
    <row r="74">
      <c r="A74" s="98" t="inlineStr">
        <is>
          <t>13.4</t>
        </is>
      </c>
      <c r="B74" s="99" t="inlineStr">
        <is>
          <t>Phase 13 (plan initial)</t>
        </is>
      </c>
      <c r="C74" s="100" t="inlineStr">
        <is>
          <t>Frontend</t>
        </is>
      </c>
      <c r="D74" s="101" t="inlineStr">
        <is>
          <t>🟢 Normale</t>
        </is>
      </c>
      <c r="E74" s="100" t="inlineStr">
        <is>
          <t>TelephonyKpiCards.vue / ActiveCallsTable.vue / AgentsGrid.vue</t>
        </is>
      </c>
      <c r="F74" s="100" t="inlineStr">
        <is>
          <t>Cartes KPI, tableau des appels actifs filtrable, grille agents avec statut courant.</t>
        </is>
      </c>
      <c r="G74" s="102" t="inlineStr">
        <is>
          <t>Complété</t>
        </is>
      </c>
      <c r="H74" s="100" t="inlineStr">
        <is>
          <t>2j</t>
        </is>
      </c>
      <c r="I74" s="100" t="inlineStr">
        <is>
          <t>frontend/src/components/telephony/ (nouveau)</t>
        </is>
      </c>
      <c r="J74" s="100" t="inlineStr">
        <is>
          <t>13.3</t>
        </is>
      </c>
      <c r="K74" s="100" t="n"/>
      <c r="L74" s="100" t="n"/>
      <c r="M74" s="100" t="inlineStr">
        <is>
          <t>[Audit 14/08] objectif atteint via l'implémentation réelle (voir Phase 13, lignes 13.1/13.2 plus bas) — architecture différente du plan initial (pas de store Pinia useTelephonyStore ni de composants séparés TelephonyKpiCards/ActiveCallsTable/AgentsGrid : tout fusionné dans SupervisionTelephony.vue, avec état local + useTelephonySocket directement).</t>
        </is>
      </c>
    </row>
    <row r="75">
      <c r="A75" s="98" t="inlineStr">
        <is>
          <t>13.5</t>
        </is>
      </c>
      <c r="B75" s="99" t="inlineStr">
        <is>
          <t>Phase 13 (plan initial)</t>
        </is>
      </c>
      <c r="C75" s="100" t="inlineStr">
        <is>
          <t>Frontend</t>
        </is>
      </c>
      <c r="D75" s="101" t="inlineStr">
        <is>
          <t>🔵 Normale</t>
        </is>
      </c>
      <c r="E75" s="100" t="inlineStr">
        <is>
          <t>Réglages connecteurs PBX (UI)</t>
        </is>
      </c>
      <c r="F75" s="100" t="inlineStr">
        <is>
          <t>Formulaire CRUD pbx_connectors dans Réglages &gt; Intégrations, sur le modèle SettingsSmtp.vue.</t>
        </is>
      </c>
      <c r="G75" s="102" t="inlineStr">
        <is>
          <t>Complété</t>
        </is>
      </c>
      <c r="H75" s="100" t="inlineStr">
        <is>
          <t>1j</t>
        </is>
      </c>
      <c r="I75" s="100" t="inlineStr">
        <is>
          <t>frontend/src/components/settings/SettingsTelephony.vue (nouveau)</t>
        </is>
      </c>
      <c r="J75" s="100" t="inlineStr">
        <is>
          <t>11.6</t>
        </is>
      </c>
      <c r="K75" s="100" t="n"/>
      <c r="L75" s="100" t="n"/>
      <c r="M75" s="100" t="inlineStr">
        <is>
          <t>[Audit 14/08] objectif atteint via l'implémentation réelle (voir Phase 13, lignes 13.1/13.2 plus bas) — architecture différente du plan initial (pas de store Pinia useTelephonyStore ni de composants séparés TelephonyKpiCards/ActiveCallsTable/AgentsGrid : tout fusionné dans SupervisionTelephony.vue, avec état local + useTelephonySocket directement).</t>
        </is>
      </c>
    </row>
    <row r="76">
      <c r="A76" s="98" t="inlineStr">
        <is>
          <t>15.1</t>
        </is>
      </c>
      <c r="B76" s="99" t="inlineStr">
        <is>
          <t>Phase 15</t>
        </is>
      </c>
      <c r="C76" s="100" t="inlineStr">
        <is>
          <t>Backend</t>
        </is>
      </c>
      <c r="D76" s="101" t="inlineStr">
        <is>
          <t>🔵 Normale</t>
        </is>
      </c>
      <c r="E76" s="100" t="inlineStr">
        <is>
          <t>AMIAdapter (Asterisk) — ajouté au même process connecteur</t>
        </is>
      </c>
      <c r="F76" s="100" t="inlineStr">
        <is>
          <t>Implémente PBXAdapter, orchestré par le même Core Connector que l'ESLAdapter (pas un second déploiement) : Dial/Hangup/QueueMember normalisés vers le même format standard.</t>
        </is>
      </c>
      <c r="G76" s="102" t="inlineStr">
        <is>
          <t>À faire</t>
        </is>
      </c>
      <c r="H76" s="100" t="inlineStr">
        <is>
          <t>2j</t>
        </is>
      </c>
      <c r="I76" s="100" t="inlineStr">
        <is>
          <t>telephony-connector/adapters/ami.py (nouveau)</t>
        </is>
      </c>
      <c r="J76" s="100" t="inlineStr">
        <is>
          <t>12.2, 12.4</t>
        </is>
      </c>
      <c r="K76" s="100" t="n"/>
      <c r="L76" s="100" t="n"/>
      <c r="M76" s="100" t="inlineStr">
        <is>
          <t>[Audit 14/08] renumérotée depuis 'Phase 14' — la Phase 14 réelle est devenue Webhook CDR + Rapports (voir lignes 14.1-14.4 plus bas), l'AMIAdapter Asterisk est la Phase 15 dans TELEPHONIE_INTEGRATION_PLAN.md §4. Statut inchangé : toujours 'À faire', confirmé exact.</t>
        </is>
      </c>
    </row>
    <row r="77">
      <c r="A77" s="98" t="inlineStr">
        <is>
          <t>15.2</t>
        </is>
      </c>
      <c r="B77" s="99" t="inlineStr">
        <is>
          <t>Phase 15</t>
        </is>
      </c>
      <c r="C77" s="100" t="inlineStr">
        <is>
          <t>Tests</t>
        </is>
      </c>
      <c r="D77" s="101" t="inlineStr">
        <is>
          <t>🔵 Normale</t>
        </is>
      </c>
      <c r="E77" s="100" t="inlineStr">
        <is>
          <t>Validation architecture Adapter (non-régression ESL)</t>
        </is>
      </c>
      <c r="F77" s="100" t="inlineStr">
        <is>
          <t>Vérifier qu'aucun changement API/frontend n'est requis pour supporter Asterisk en plus de FusionPBX.</t>
        </is>
      </c>
      <c r="G77" s="102" t="inlineStr">
        <is>
          <t>À faire</t>
        </is>
      </c>
      <c r="H77" s="100" t="inlineStr">
        <is>
          <t>½j</t>
        </is>
      </c>
      <c r="I77" s="100" t="inlineStr">
        <is>
          <t>backend/tests/</t>
        </is>
      </c>
      <c r="J77" s="100" t="inlineStr">
        <is>
          <t>14.1</t>
        </is>
      </c>
      <c r="K77" s="100" t="n"/>
      <c r="L77" s="100" t="n"/>
      <c r="M77" s="100" t="inlineStr">
        <is>
          <t>[Audit 14/08] renumérotée depuis 'Phase 14', voir 15.1. Statut inchangé : toujours 'À faire', confirmé exact.</t>
        </is>
      </c>
    </row>
    <row r="78">
      <c r="A78" s="98" t="inlineStr">
        <is>
          <t>DOC-TEL-1</t>
        </is>
      </c>
      <c r="B78" s="103" t="inlineStr">
        <is>
          <t>Documentation</t>
        </is>
      </c>
      <c r="C78" s="100" t="inlineStr">
        <is>
          <t>Documentation</t>
        </is>
      </c>
      <c r="D78" s="104" t="inlineStr">
        <is>
          <t>🟢 Normale</t>
        </is>
      </c>
      <c r="E78" s="105" t="inlineStr">
        <is>
          <t>Rédiger le plan d'intégration Module Téléphonie</t>
        </is>
      </c>
      <c r="F78" s="105" t="inlineStr">
        <is>
          <t>Analyse de l'existant (table dormante, flag cosmétique), décisions d'architecture (polling vs WebSocket, String vs enum), phasage détaillé.</t>
        </is>
      </c>
      <c r="G78" s="106" t="inlineStr">
        <is>
          <t>Complété</t>
        </is>
      </c>
      <c r="H78" s="105" t="inlineStr">
        <is>
          <t>½j</t>
        </is>
      </c>
      <c r="I78" s="105" t="inlineStr">
        <is>
          <t>TELEPHONIE_INTEGRATION_PLAN.md (nouveau) · docs/cdc/CDC-Module-Telephonie.md (nouveau)</t>
        </is>
      </c>
      <c r="J78" s="105" t="n"/>
      <c r="K78" s="105" t="inlineStr">
        <is>
          <t>2026-07-27</t>
        </is>
      </c>
      <c r="L78" s="105" t="inlineStr">
        <is>
          <t>2026-07-27</t>
        </is>
      </c>
      <c r="M78" s="105" t="n"/>
    </row>
    <row r="79">
      <c r="A79" s="51" t="inlineStr">
        <is>
          <t>13.1</t>
        </is>
      </c>
      <c r="B79" s="51" t="inlineStr">
        <is>
          <t>Phase 13</t>
        </is>
      </c>
      <c r="C79" s="51" t="inlineStr">
        <is>
          <t>Frontend</t>
        </is>
      </c>
      <c r="D79" s="51" t="inlineStr">
        <is>
          <t>Haute</t>
        </is>
      </c>
      <c r="E79" s="51" t="inlineStr">
        <is>
          <t>Relocalisation config Téléphonie sous Intégrations</t>
        </is>
      </c>
      <c r="F79" s="51" t="inlineStr">
        <is>
          <t>Config déplacée de l'onglet Paramètres autonome vers un panneau "Configurer" inline sous Paramètres &gt; Intégrations. Bouton actif dès que channel_telephonie est activé, indépendamment d'un connecteur déjà configuré (tenant_features.py : integrations.telephony = ch['telephonie'] seul).</t>
        </is>
      </c>
      <c r="G79" s="51" t="inlineStr">
        <is>
          <t>Complété</t>
        </is>
      </c>
      <c r="I79" s="51" t="inlineStr">
        <is>
          <t>SettingsIntegrations.vue, SettingsView.vue, tenant_features.py</t>
        </is>
      </c>
      <c r="K79" s="51" t="inlineStr">
        <is>
          <t>2026-07-28</t>
        </is>
      </c>
      <c r="L79" s="51" t="inlineStr">
        <is>
          <t>2026-07-29</t>
        </is>
      </c>
    </row>
    <row r="80">
      <c r="A80" s="51" t="inlineStr">
        <is>
          <t>13.2</t>
        </is>
      </c>
      <c r="B80" s="51" t="inlineStr">
        <is>
          <t>Phase 13</t>
        </is>
      </c>
      <c r="C80" s="51" t="inlineStr">
        <is>
          <t>Frontend/Backend</t>
        </is>
      </c>
      <c r="D80" s="51" t="inlineStr">
        <is>
          <t>Haute</t>
        </is>
      </c>
      <c r="E80" s="51" t="inlineStr">
        <is>
          <t>Supervision &gt; Téléphonie (KPIs, appels en cours, files, grille agents)</t>
        </is>
      </c>
      <c r="F80" s="51" t="inlineStr">
        <is>
          <t>Nouvel onglet Supervision, visible ssi canal actif ET connecteur configuré. Grille d'état des agents adossée à une donnée réelle : capture du header FreeSWITCH CC-Agent-Status (mod_callcenter, jusque-là ignoré), normalisé par GET /telephony/agents/status en présence disponible/pause/hors-ligne (défaut hors-ligne si inconnu — jamais fabriqué). Charge = appels traités relatifs au plus sollicité, pas un taux d'occupation.</t>
        </is>
      </c>
      <c r="G80" s="51" t="inlineStr">
        <is>
          <t>Complété</t>
        </is>
      </c>
      <c r="I80" s="51" t="inlineStr">
        <is>
          <t>SupervisionTelephony.vue, SupervisionView.vue, telephony.py (agents_status), migration 2f54e418e600</t>
        </is>
      </c>
      <c r="K80" s="51" t="inlineStr">
        <is>
          <t>2026-07-28</t>
        </is>
      </c>
      <c r="L80" s="51" t="inlineStr">
        <is>
          <t>2026-07-29</t>
        </is>
      </c>
    </row>
    <row r="81">
      <c r="A81" s="51" t="inlineStr">
        <is>
          <t>14.1</t>
        </is>
      </c>
      <c r="B81" s="51" t="inlineStr">
        <is>
          <t>Phase 14</t>
        </is>
      </c>
      <c r="C81" s="51" t="inlineStr">
        <is>
          <t>Backend</t>
        </is>
      </c>
      <c r="D81" s="51" t="inlineStr">
        <is>
          <t>Haute</t>
        </is>
      </c>
      <c r="E81" s="51" t="inlineStr">
        <is>
          <t>Webhook CDR (POST /telephony/cdr/ingest/&lt;token&gt;)</t>
        </is>
      </c>
      <c r="F81" s="51" t="inlineStr">
        <is>
          <t>Canal d'ingestion complémentaire à l'ESL live, alimenté directement par FusionPBX (mod_json_cdr) à la fin de chaque appel. Jeton PAR CONNECTEUR (généré à la création, régénérable, stocké hashé+chiffré, réaffichable via "Copier le token"), restriction IP optionnelle (authorized_ip). Un CDR produit jusqu'à 3 TelephonyEvent rétrodatés (ringing/answered/terminal), compatible sans modification avec les routes KPI existantes.</t>
        </is>
      </c>
      <c r="G81" s="51" t="inlineStr">
        <is>
          <t>Complété</t>
        </is>
      </c>
      <c r="I81" s="51" t="inlineStr">
        <is>
          <t>telephony.py (cdr_ingest), pbx.py, migration 9c8b7a6f5e4d, SettingsTelephony.vue</t>
        </is>
      </c>
      <c r="K81" s="51" t="inlineStr">
        <is>
          <t>2026-07-28</t>
        </is>
      </c>
      <c r="L81" s="51" t="inlineStr">
        <is>
          <t>2026-07-29</t>
        </is>
      </c>
    </row>
    <row r="82">
      <c r="A82" s="51" t="inlineStr">
        <is>
          <t>14.2</t>
        </is>
      </c>
      <c r="B82" s="51" t="inlineStr">
        <is>
          <t>Phase 14</t>
        </is>
      </c>
      <c r="C82" s="51" t="inlineStr">
        <is>
          <t>Frontend/Backend</t>
        </is>
      </c>
      <c r="D82" s="51" t="inlineStr">
        <is>
          <t>Moyenne</t>
        </is>
      </c>
      <c r="E82" s="51" t="inlineStr">
        <is>
          <t>Rapports &gt; Téléphonie (historique + export CSV + enregistrements + export ZIP)</t>
        </is>
      </c>
      <c r="F82" s="51" t="inlineStr">
        <is>
          <t>Nouvel onglet Rapports, visible ssi canal actif. Historique des appels paginé/filtrable avec export CSV (GET /telephony/calls, /calls/export). Section Enregistrements avec écoute/téléchargement (proxy backend, uniquement si recording_url est une URL http(s) exploitable) et export groupé en ZIP (sélection ou filtres, _indisponibles.txt listant les fichiers exclus).</t>
        </is>
      </c>
      <c r="G82" s="51" t="inlineStr">
        <is>
          <t>Complété</t>
        </is>
      </c>
      <c r="I82" s="51" t="inlineStr">
        <is>
          <t>ReportCdr.vue, ReportView.vue, telephony.py (calls/recordings routes), telephonyService.js</t>
        </is>
      </c>
      <c r="K82" s="51" t="inlineStr">
        <is>
          <t>2026-07-28</t>
        </is>
      </c>
      <c r="L82" s="51" t="inlineStr">
        <is>
          <t>2026-07-29</t>
        </is>
      </c>
    </row>
    <row r="83">
      <c r="A83" s="51" t="inlineStr">
        <is>
          <t>14.3</t>
        </is>
      </c>
      <c r="B83" s="51" t="inlineStr">
        <is>
          <t>Phase 14</t>
        </is>
      </c>
      <c r="C83" s="51" t="inlineStr">
        <is>
          <t>Backend</t>
        </is>
      </c>
      <c r="D83" s="51" t="inlineStr">
        <is>
          <t>Critique</t>
        </is>
      </c>
      <c r="E83" s="51" t="inlineStr">
        <is>
          <t>Six correctifs successifs du parsing webhook CDR (validés contre trafic FusionPBX réel)</t>
        </is>
      </c>
      <c r="F83" s="51" t="inlineStr">
        <is>
          <t>Chaque round découvert et corrigé contre du vrai trafic de production (pas en local) : (1) get_json() sans force=True ; (2) corps réellement x-www-form-urlencoded (cdr=&lt;json&gt;), pas JSON brut ; (3) '&amp;'/'=' littéraux tronquaient la valeur via le parseur form de Werkzeug — remplacé par extraction directe sur le corps brut ; (4) préservation du '+' des numéros E.164 (unquote avant unquote_plus) ; (5) caractères de contrôle bruts (strict=False) ; (6) root cause finale : FusionPBX interpole des en-têtes SIP bruts sans échapper les guillemets internes — _repair_unescaped_quotes() en dernier recours. Voir TELEPHONIE_INTEGRATION_PLAN.md §8.6 pour le détail complet. 21 tests dédiés.</t>
        </is>
      </c>
      <c r="G83" s="51" t="inlineStr">
        <is>
          <t>Complété</t>
        </is>
      </c>
      <c r="I83" s="51" t="inlineStr">
        <is>
          <t>telephony.py (cdr_ingest, _repair_unescaped_quotes), test_telephony.py</t>
        </is>
      </c>
      <c r="K83" s="51" t="inlineStr">
        <is>
          <t>2026-07-28</t>
        </is>
      </c>
      <c r="L83" s="51" t="inlineStr">
        <is>
          <t>2026-07-29</t>
        </is>
      </c>
    </row>
    <row r="84">
      <c r="A84" s="51" t="inlineStr">
        <is>
          <t>14.4</t>
        </is>
      </c>
      <c r="B84" s="51" t="inlineStr">
        <is>
          <t>Phase 14</t>
        </is>
      </c>
      <c r="C84" s="51" t="inlineStr">
        <is>
          <t>Backend</t>
        </is>
      </c>
      <c r="D84" s="51" t="inlineStr">
        <is>
          <t>Basse</t>
        </is>
      </c>
      <c r="E84" s="51" t="inlineStr">
        <is>
          <t>Trace diagnostique webhook CDR (TELEPHONY_CDR_TRACE)</t>
        </is>
      </c>
      <c r="F84" s="51" t="inlineStr">
        <is>
          <t>Activable via TELEPHONY_CDR_TRACE=true (désactivé par défaut). Journalise l'inventaire complet des variables reçues + écrit le payload intégral dans /tmp/cdr_trace_last.json, pour confirmer quelles variables un PBX réel envoie effectivement (cc_queue/cc_agent, exposition des enregistrements) avant d'exploiter de nouveaux champs.</t>
        </is>
      </c>
      <c r="G84" s="51" t="inlineStr">
        <is>
          <t>Complété</t>
        </is>
      </c>
      <c r="I84" s="51" t="inlineStr">
        <is>
          <t>telephony.py (_trace_cdr_payload), config.py, .env.example</t>
        </is>
      </c>
      <c r="K84" s="51" t="inlineStr">
        <is>
          <t>2026-07-28</t>
        </is>
      </c>
      <c r="L84" s="51" t="inlineStr">
        <is>
          <t>2026-07-29</t>
        </is>
      </c>
    </row>
    <row r="85">
      <c r="A85" s="51" t="inlineStr">
        <is>
          <t>12.12</t>
        </is>
      </c>
      <c r="B85" s="51" t="inlineStr">
        <is>
          <t>Phase 12</t>
        </is>
      </c>
      <c r="C85" s="51" t="inlineStr">
        <is>
          <t>Backend/Connecteur</t>
        </is>
      </c>
      <c r="D85" s="51" t="inlineStr">
        <is>
          <t>🟢 Normale</t>
        </is>
      </c>
      <c r="E85" s="51" t="inlineStr">
        <is>
          <t>Exécution à distance ESL (login/logout/statut agent)</t>
        </is>
      </c>
      <c r="F85" s="51" t="inlineStr">
        <is>
          <t>PERMATEL déclenche des jobs agent_login/agent_logout/agent_status_change côté FusionPBX. Dispatch Redis direct (_dispatch_pbx_job), pas de table de jobs persistée (connexion ESL déjà permanente et synchrone). Voir TELEPHONIE_INTEGRATION_PLAN.md §8.10.</t>
        </is>
      </c>
      <c r="G85" s="51" t="inlineStr">
        <is>
          <t>Complété</t>
        </is>
      </c>
      <c r="I85" s="51" t="inlineStr">
        <is>
          <t>app/routes/telephony.py, app/routes/auth.py, connector/adapters/esl_adapter.py</t>
        </is>
      </c>
      <c r="J85" s="51" t="inlineStr">
        <is>
          <t>12.2, 12.3</t>
        </is>
      </c>
      <c r="K85" s="51" t="inlineStr">
        <is>
          <t>2026-08-13</t>
        </is>
      </c>
      <c r="L85" s="51" t="inlineStr">
        <is>
          <t>2026-08-13</t>
        </is>
      </c>
    </row>
    <row r="86">
      <c r="A86" s="51" t="inlineStr">
        <is>
          <t>12.13</t>
        </is>
      </c>
      <c r="B86" s="51" t="inlineStr">
        <is>
          <t>Phase 12</t>
        </is>
      </c>
      <c r="C86" s="51" t="inlineStr">
        <is>
          <t>Backend/Connecteur</t>
        </is>
      </c>
      <c r="D86" s="51" t="inlineStr">
        <is>
          <t>🟢 Normale</t>
        </is>
      </c>
      <c r="E86" s="51" t="inlineStr">
        <is>
          <t>Codes de pause (pbx_pause_codes + événement CUSTOM FreeSWITCH)</t>
        </is>
      </c>
      <c r="F86" s="51" t="inlineStr">
        <is>
          <t>Table pbx_pause_codes par tenant (ligne '0' protégée). Connecteur émet un événement CUSTOM (sendevent, esl_adapter::agent_pause_code) réingéré par son propre pipeline. ⚠️ Injection non confirmée contre un flux FusionPBX réel à ce jour — voir §8.10.</t>
        </is>
      </c>
      <c r="G86" s="51" t="inlineStr">
        <is>
          <t>Complété</t>
        </is>
      </c>
      <c r="I86" s="51" t="inlineStr">
        <is>
          <t>app/models/pbx.py, app/routes/telephony.py, connector/adapters/esl_adapter.py</t>
        </is>
      </c>
      <c r="J86" s="51" t="inlineStr">
        <is>
          <t>12.12</t>
        </is>
      </c>
      <c r="K86" s="51" t="inlineStr">
        <is>
          <t>2026-08-13</t>
        </is>
      </c>
      <c r="L86" s="51" t="inlineStr">
        <is>
          <t>2026-08-13</t>
        </is>
      </c>
      <c r="M86" s="51" t="inlineStr">
        <is>
          <t>Zone d'incertitude : sendevent non validé contre trafic réel, comme d'autres points du plan (§8.3).</t>
        </is>
      </c>
    </row>
    <row r="87">
      <c r="A87" s="51" t="inlineStr">
        <is>
          <t>12.14</t>
        </is>
      </c>
      <c r="B87" s="51" t="inlineStr">
        <is>
          <t>Phase 12</t>
        </is>
      </c>
      <c r="C87" s="51" t="inlineStr">
        <is>
          <t>Backend</t>
        </is>
      </c>
      <c r="D87" s="51" t="inlineStr">
        <is>
          <t>🟢 Normale</t>
        </is>
      </c>
      <c r="E87" s="51" t="inlineStr">
        <is>
          <t>UserSession.status synchronisé + suivi des temps actif/pause</t>
        </is>
      </c>
      <c r="F87" s="51" t="inlineStr">
        <is>
          <t>UserSession.status (PAUSED, existait mais jamais alimenté) bascule désormais en parallèle des changements de statut PBX. _session_status_durations() reconstruit les minutes actif/pause par session depuis l'historique TelephonyEvent (user_session_id, jamais utilisée jusqu'ici).</t>
        </is>
      </c>
      <c r="G87" s="51" t="inlineStr">
        <is>
          <t>Complété</t>
        </is>
      </c>
      <c r="I87" s="51" t="inlineStr">
        <is>
          <t>app/routes/telephony.py, app/routes/auth.py</t>
        </is>
      </c>
      <c r="J87" s="51" t="inlineStr">
        <is>
          <t>12.12</t>
        </is>
      </c>
      <c r="K87" s="51" t="inlineStr">
        <is>
          <t>2026-08-13</t>
        </is>
      </c>
      <c r="L87" s="51" t="inlineStr">
        <is>
          <t>2026-08-14</t>
        </is>
      </c>
    </row>
    <row r="88">
      <c r="A88" s="51" t="inlineStr">
        <is>
          <t>12.15</t>
        </is>
      </c>
      <c r="B88" s="51" t="inlineStr">
        <is>
          <t>Phase 12</t>
        </is>
      </c>
      <c r="C88" s="51" t="inlineStr">
        <is>
          <t>Frontend</t>
        </is>
      </c>
      <c r="D88" s="51" t="inlineStr">
        <is>
          <t>🟢 Normale</t>
        </is>
      </c>
      <c r="E88" s="51" t="inlineStr">
        <is>
          <t>RingingCallBar (bandeau de sonnerie globale)</t>
        </is>
      </c>
      <c r="F88" s="51" t="inlineStr">
        <is>
          <t>Bandeau global (toutes pages, comme CallCardBar) affiché uniquement pour l'agent dont l'appel sonne encore (avant décroché) — accent ambre, distinct de CallCardBar.</t>
        </is>
      </c>
      <c r="G88" s="51" t="inlineStr">
        <is>
          <t>Complété</t>
        </is>
      </c>
      <c r="I88" s="51" t="inlineStr">
        <is>
          <t>frontend/src/components/supervision/RingingCallBar.vue, App.vue</t>
        </is>
      </c>
      <c r="K88" s="51" t="inlineStr">
        <is>
          <t>2026-08-14</t>
        </is>
      </c>
      <c r="L88" s="51" t="inlineStr">
        <is>
          <t>2026-08-14</t>
        </is>
      </c>
    </row>
    <row r="89">
      <c r="A89" s="51" t="inlineStr">
        <is>
          <t>16.1</t>
        </is>
      </c>
      <c r="B89" s="51" t="inlineStr">
        <is>
          <t>Phase 16</t>
        </is>
      </c>
      <c r="C89" s="51" t="inlineStr">
        <is>
          <t>Backend/Frontend</t>
        </is>
      </c>
      <c r="D89" s="51" t="inlineStr">
        <is>
          <t>🟢 Normale</t>
        </is>
      </c>
      <c r="E89" s="51" t="inlineStr">
        <is>
          <t>Rapport « Prises de service » enrichi (tableau détaillé + export CSV)</t>
        </is>
      </c>
      <c r="F89" s="51" t="inlineStr">
        <is>
          <t>Tableau détaillé téléchargeable en CSV : date, agent, type, client, site, début/fin, et utilisateur PERMATEL ayant déclaré chaque étape. Nouvelle colonne prises_de_service.ended_by_id (migration b7c9e1a3f5d7), symétrique à created_by_id.</t>
        </is>
      </c>
      <c r="G89" s="51" t="inlineStr">
        <is>
          <t>Complété</t>
        </is>
      </c>
      <c r="I89" s="51" t="inlineStr">
        <is>
          <t>app/models/prise_de_service.py, app/routes/prises_de_service.py, ReportView.vue</t>
        </is>
      </c>
      <c r="K89" s="51" t="inlineStr">
        <is>
          <t>2026-08-14</t>
        </is>
      </c>
      <c r="L89" s="51" t="inlineStr">
        <is>
          <t>2026-08-14</t>
        </is>
      </c>
    </row>
    <row r="90">
      <c r="A90" s="51" t="inlineStr">
        <is>
          <t>16.2</t>
        </is>
      </c>
      <c r="B90" s="51" t="inlineStr">
        <is>
          <t>Phase 16</t>
        </is>
      </c>
      <c r="C90" s="51" t="inlineStr">
        <is>
          <t>Backend/Frontend</t>
        </is>
      </c>
      <c r="D90" s="51" t="inlineStr">
        <is>
          <t>🟢 Normale</t>
        </is>
      </c>
      <c r="E90" s="51" t="inlineStr">
        <is>
          <t>Géolocalisation IP (drapeau pays) dans les Rapports</t>
        </is>
      </c>
      <c r="F90" s="51" t="inlineStr">
        <is>
          <t>Lookup MaxMind GeoLite2-Country 100% local (aucune IP transmise à un tiers), dégradation gracieuse si la base .mmdb est absente (non versionnée, licence MaxMind). country_code exposé en JSON, jamais dans les exports CSV.</t>
        </is>
      </c>
      <c r="G90" s="51" t="inlineStr">
        <is>
          <t>Complété</t>
        </is>
      </c>
      <c r="I90" s="51" t="inlineStr">
        <is>
          <t>app/utils/geoip.py, SessionMonitoring.vue, ReportView.vue, docker-compose.yml</t>
        </is>
      </c>
      <c r="K90" s="51" t="inlineStr">
        <is>
          <t>2026-08-14</t>
        </is>
      </c>
      <c r="L90" s="51" t="inlineStr">
        <is>
          <t>2026-08-14</t>
        </is>
      </c>
    </row>
    <row r="91">
      <c r="A91" s="51" t="inlineStr">
        <is>
          <t>16.3</t>
        </is>
      </c>
      <c r="B91" s="51" t="inlineStr">
        <is>
          <t>Phase 16</t>
        </is>
      </c>
      <c r="C91" s="51" t="inlineStr">
        <is>
          <t>Backend/Frontend</t>
        </is>
      </c>
      <c r="D91" s="51" t="inlineStr">
        <is>
          <t>🟢 Normale</t>
        </is>
      </c>
      <c r="E91" s="51" t="inlineStr">
        <is>
          <t>Refonte du filtre CDR (Rapports &gt; Téléphonie)</t>
        </is>
      </c>
      <c r="F91" s="51" t="inlineStr">
        <is>
          <t>Dates alignées (Vuetify au lieu d'inputs natifs), bouton « Filtrer » explicite, Agent/File en multi-select alimentés par deux nouveaux endpoints roster (/telephony/agents/roster, /telephony/queues/roster) réutilisant les helpers d'alias déjà en place.</t>
        </is>
      </c>
      <c r="G91" s="51" t="inlineStr">
        <is>
          <t>Complété</t>
        </is>
      </c>
      <c r="I91" s="51" t="inlineStr">
        <is>
          <t>ReportCdr.vue, app/routes/telephony.py</t>
        </is>
      </c>
      <c r="K91" s="51" t="inlineStr">
        <is>
          <t>2026-08-14</t>
        </is>
      </c>
      <c r="L91" s="51" t="inlineStr">
        <is>
          <t>2026-08-14</t>
        </is>
      </c>
    </row>
    <row r="92">
      <c r="A92" s="51" t="inlineStr">
        <is>
          <t>DOC-AUDIT-1</t>
        </is>
      </c>
      <c r="B92" s="51" t="inlineStr">
        <is>
          <t>Documentation</t>
        </is>
      </c>
      <c r="C92" s="51" t="inlineStr">
        <is>
          <t>Documentation</t>
        </is>
      </c>
      <c r="D92" s="51" t="inlineStr">
        <is>
          <t>🟢 Normale</t>
        </is>
      </c>
      <c r="E92" s="51" t="inlineStr">
        <is>
          <t>Audit de conformité du registre des tâches (statuts vs code réel)</t>
        </is>
      </c>
      <c r="F92" s="51" t="inlineStr">
        <is>
          <t>Vérification systématique de chaque tâche 'À faire'/'Complété' contre le code réel — Phases 2/3/4 étaient marquées 'À faire' alors qu'implémentées depuis longtemps ; Phases 13/14 avaient des doublons d'ID en conflit (plan initial vs implémentation réelle, faussant les COUNTIFS du tableau de bord). Corrections appliquées, voir notes de chaque ligne concernée.</t>
        </is>
      </c>
      <c r="G92" s="51" t="inlineStr">
        <is>
          <t>Complété</t>
        </is>
      </c>
      <c r="H92" s="51" t="inlineStr">
        <is>
          <t>½j</t>
        </is>
      </c>
      <c r="I92" s="51" t="inlineStr">
        <is>
          <t>docs/suivi_taches_permatel.xlsx</t>
        </is>
      </c>
      <c r="K92" s="51" t="inlineStr">
        <is>
          <t>2026-08-14</t>
        </is>
      </c>
      <c r="L92" s="51" t="inlineStr">
        <is>
          <t>2026-08-14</t>
        </is>
      </c>
    </row>
    <row r="93">
      <c r="A93" s="51" t="inlineStr">
        <is>
          <t>4.7</t>
        </is>
      </c>
      <c r="B93" s="51" t="inlineStr">
        <is>
          <t>Phase 4</t>
        </is>
      </c>
      <c r="C93" s="51" t="inlineStr">
        <is>
          <t>Frontend</t>
        </is>
      </c>
      <c r="D93" s="51" t="inlineStr">
        <is>
          <t>🟢 Normale</t>
        </is>
      </c>
      <c r="E93" s="51" t="inlineStr">
        <is>
          <t>Fix : footer applicatif masquait les boutons des tiroirs d'édition</t>
        </is>
      </c>
      <c r="F93" s="51" t="inlineStr">
        <is>
          <t>Les overlays EditCommandeDrawer.vue/EditAnomalieDrawer.vue fixaient bottom:0, ignorant la hauteur du &lt;v-footer app&gt; (z-index Vuetify élevé) — la barre ENREGISTRER/ANNULER passait sous le footer. Réserve désormais --v-layout-bottom, symétrique à --v-layout-top déjà utilisé pour l'app-bar.</t>
        </is>
      </c>
      <c r="G93" s="51" t="inlineStr">
        <is>
          <t>Complété</t>
        </is>
      </c>
      <c r="I93" s="51" t="inlineStr">
        <is>
          <t>frontend/src/components/workspace/EditCommandeDrawer.vue, EditAnomalieDrawer.vue</t>
        </is>
      </c>
      <c r="K93" s="51" t="inlineStr">
        <is>
          <t>2026-08-14</t>
        </is>
      </c>
      <c r="L93" s="51" t="inlineStr">
        <is>
          <t>2026-08-14</t>
        </is>
      </c>
    </row>
    <row r="94">
      <c r="A94" s="51" t="inlineStr">
        <is>
          <t>5.5</t>
        </is>
      </c>
      <c r="B94" s="51" t="inlineStr">
        <is>
          <t>Phase 5</t>
        </is>
      </c>
      <c r="C94" s="51" t="inlineStr">
        <is>
          <t>Déploiement</t>
        </is>
      </c>
      <c r="D94" s="51" t="inlineStr">
        <is>
          <t>🟡 Haute</t>
        </is>
      </c>
      <c r="E94" s="51" t="inlineStr">
        <is>
          <t>Fix déploiement : VITE_INACTIVITY_TIMEOUT_MINUTES jamais propagé au build Docker</t>
        </is>
      </c>
      <c r="F94" s="51" t="inlineStr">
        <is>
          <t>Le Dockerfile frontend n'exposait pas VITE_INACTIVITY_TIMEOUT_MINUTES comme ARG et docker-compose.yml ne le passait pas au build — le frontend se rabattait toujours sur son défaut JS (30 min) même quand SESSION_INACTIVITY_TIMEOUT_MINUTES était personnalisé côté backend, déconnectant l'agent côté UI alors que sa session serveur restait valide. Le build frontend dérive désormais VITE_INACTIVITY_TIMEOUT_MINUTES directement de SESSION_INACTIVITY_TIMEOUT_MINUTES (même variable, pas de VITE_* séparée) — impossible de les faire diverger en Docker.</t>
        </is>
      </c>
      <c r="G94" s="51" t="inlineStr">
        <is>
          <t>Complété</t>
        </is>
      </c>
      <c r="I94" s="51" t="inlineStr">
        <is>
          <t>frontend/Dockerfile, docker-compose.yml, .env.example, README.md</t>
        </is>
      </c>
      <c r="K94" s="51" t="inlineStr">
        <is>
          <t>2026-08-14</t>
        </is>
      </c>
      <c r="L94" s="51" t="inlineStr">
        <is>
          <t>2026-08-14</t>
        </is>
      </c>
    </row>
    <row r="95">
      <c r="A95" s="51" t="inlineStr">
        <is>
          <t>13.3</t>
        </is>
      </c>
      <c r="B95" s="51" t="inlineStr">
        <is>
          <t>Phase 13</t>
        </is>
      </c>
      <c r="C95" s="51" t="inlineStr">
        <is>
          <t>Frontend</t>
        </is>
      </c>
      <c r="D95" s="51" t="inlineStr">
        <is>
          <t>🟢 Normale</t>
        </is>
      </c>
      <c r="E95" s="51" t="inlineStr">
        <is>
          <t>Fix affichage : agent déduit masqué sur les appels sortants directs</t>
        </is>
      </c>
      <c r="F95" s="51" t="inlineStr">
        <is>
          <t>Le backend déduit déjà l'agent d'un appel sortant hors file (matching caller/callee contre _live_station_agent_lookup) mais ne backfille jamais agent_login, seulement agent_uuid/agent_name. Le tableau « Appels en cours » gatait la cellule Agent sur c.agent_login → toujours « — » malgré une inférence réussie. Corrigé pour s'afficher dès que agent_name OU agent_login est présent, avec un indice visuel (avatar en pointillés + « (déduit) ») quand agent_inferred est vrai.</t>
        </is>
      </c>
      <c r="G95" s="51" t="inlineStr">
        <is>
          <t>Complété</t>
        </is>
      </c>
      <c r="I95" s="51" t="inlineStr">
        <is>
          <t>frontend/src/components/supervision/SupervisionTelephony.vue</t>
        </is>
      </c>
      <c r="K95" s="51" t="inlineStr">
        <is>
          <t>2026-08-14</t>
        </is>
      </c>
      <c r="L95" s="51" t="inlineStr">
        <is>
          <t>2026-08-14</t>
        </is>
      </c>
      <c r="M95" s="51" t="inlineStr">
        <is>
          <t>Limite connue : ne résout que les postes ayant déjà été vus en file au moins une fois (CALLCENTER_AGENT_STATE_CHANGE). Un agent n'ayant jamais rejoint de file reste non résolu — nécessiterait un repli statique sur User.station_extension, non fait à ce stade.</t>
        </is>
      </c>
    </row>
    <row r="96">
      <c r="A96" s="51" t="inlineStr">
        <is>
          <t>16.4</t>
        </is>
      </c>
      <c r="B96" s="51" t="inlineStr">
        <is>
          <t>Phase 16</t>
        </is>
      </c>
      <c r="C96" s="51" t="inlineStr">
        <is>
          <t>Backend/Frontend</t>
        </is>
      </c>
      <c r="D96" s="51" t="inlineStr">
        <is>
          <t>🟢 Normale</t>
        </is>
      </c>
      <c r="E96" s="51" t="inlineStr">
        <is>
          <t>Colonnes « Dernière modification »/« Clôturé le » (Commandes/Anomalies)</t>
        </is>
      </c>
      <c r="F96" s="51" t="inlineStr">
        <is>
          <t>Ajout de deux colonnes après « Créée le » dans OrdersView.vue/AnomaliesView.vue, chacune précisant l'utilisateur PERMATEL concerné. closed_by_nom ajouté à la sérialisation (manquait, contrairement à created_by_nom/updated_by_nom déjà présents) ; on_status_change() pose désormais closed_by_id en même temps que closed_at (jamais fait jusqu'ici).</t>
        </is>
      </c>
      <c r="G96" s="51" t="inlineStr">
        <is>
          <t>Complété</t>
        </is>
      </c>
      <c r="I96" s="51" t="inlineStr">
        <is>
          <t>app/routes/demandes.py, app/services/sla.py, OrdersView.vue, AnomaliesView.vue</t>
        </is>
      </c>
      <c r="K96" s="51" t="inlineStr">
        <is>
          <t>2026-08-14</t>
        </is>
      </c>
      <c r="L96" s="51" t="inlineStr">
        <is>
          <t>2026-08-14</t>
        </is>
      </c>
    </row>
    <row r="97">
      <c r="A97" s="51" t="inlineStr">
        <is>
          <t>17.1</t>
        </is>
      </c>
      <c r="B97" s="51" t="inlineStr">
        <is>
          <t>Phase 17</t>
        </is>
      </c>
      <c r="C97" s="51" t="inlineStr">
        <is>
          <t>Backend/Frontend</t>
        </is>
      </c>
      <c r="D97" s="51" t="inlineStr">
        <is>
          <t>🟢 Normale</t>
        </is>
      </c>
      <c r="E97" s="51" t="inlineStr">
        <is>
          <t>Vue « Mon Profil » — auto-édition identité/mot de passe/avatar</t>
        </is>
      </c>
      <c r="F97" s="51" t="inlineStr">
        <is>
          <t>Nouvel espace self-service (nom, prénom, mot de passe, avatar), accessible via une entrée en fin de menu latéral. Nouvel endpoint PATCH /api/users/me (jwt_required seul, sans role_required, limité à nom/prénom/avatar) — contrairement à PUT /users/&lt;id&gt; qui est ADMIN-only et bloque même un admin s'éditant lui-même. Le changement de mot de passe réutilise l'endpoint self-service déjà existant PATCH /users/&lt;id&gt;/password.</t>
        </is>
      </c>
      <c r="G97" s="51" t="inlineStr">
        <is>
          <t>Complété</t>
        </is>
      </c>
      <c r="I97" s="51" t="inlineStr">
        <is>
          <t>app/routes/users.py, MonProfilView.vue, Menu2.vue, router/index.js, userService.js, store/auth.js</t>
        </is>
      </c>
      <c r="K97" s="51" t="inlineStr">
        <is>
          <t>2026-08-14</t>
        </is>
      </c>
      <c r="L97" s="51" t="inlineStr">
        <is>
          <t>2026-08-14</t>
        </is>
      </c>
    </row>
    <row r="98">
      <c r="A98" t="inlineStr">
        <is>
          <t>6.7</t>
        </is>
      </c>
      <c r="B98" t="inlineStr">
        <is>
          <t>Phase 6</t>
        </is>
      </c>
      <c r="C98" t="inlineStr">
        <is>
          <t>Backend/Tests</t>
        </is>
      </c>
      <c r="D98" t="inlineStr">
        <is>
          <t>🟢 Normale</t>
        </is>
      </c>
      <c r="E98" t="inlineStr">
        <is>
          <t>tests/fakes/fake_erp_client.py (client ERP factice)</t>
        </is>
      </c>
      <c r="F98" t="inlineStr">
        <is>
          <t>Client en mémoire (create/write/search_read/read), même signature qu'ErpClient.execute_kw — permet de tester la logique PERMATEL sans XML-RPC réel ni instance Odoo (§2.5). Non prévu dans les 6 lignes d'origine du suivi, mais listé au §5 du plan.</t>
        </is>
      </c>
      <c r="G98" t="inlineStr">
        <is>
          <t>Complété</t>
        </is>
      </c>
      <c r="I98" t="inlineStr">
        <is>
          <t>backend/tests/fakes/fake_erp_client.py (nouveau)</t>
        </is>
      </c>
      <c r="J98" t="inlineStr">
        <is>
          <t>6.5</t>
        </is>
      </c>
      <c r="K98" t="inlineStr">
        <is>
          <t>2026-08-14</t>
        </is>
      </c>
      <c r="L98" t="inlineStr">
        <is>
          <t>2026-08-14</t>
        </is>
      </c>
    </row>
    <row r="99">
      <c r="A99" t="inlineStr">
        <is>
          <t>6.8</t>
        </is>
      </c>
      <c r="B99" t="inlineStr">
        <is>
          <t>Phase 6</t>
        </is>
      </c>
      <c r="C99" t="inlineStr">
        <is>
          <t>Backend</t>
        </is>
      </c>
      <c r="D99" t="inlineStr">
        <is>
          <t>🟢 Normale</t>
        </is>
      </c>
      <c r="E99" t="inlineStr">
        <is>
          <t>Commande flask erp-backfill (squelette, §2.6)</t>
        </is>
      </c>
      <c r="F99" t="inlineStr">
        <is>
          <t>Sur le modèle de seed-prestataires/seed-agents (dry-run par défaut, --tenant-code, --yes). Compte les clients/sites/contacts/agents éligibles du tenant — n'écrit encore rien vers ERP, car erp_partners/erp_employees (mapping, §3.B) sont Phase 7. Non prévue dans les 6 lignes d'origine, listée au §5.</t>
        </is>
      </c>
      <c r="G99" t="inlineStr">
        <is>
          <t>En cours</t>
        </is>
      </c>
      <c r="I99" t="inlineStr">
        <is>
          <t>backend/app/scripts/erp_backfill.py (nouveau) · app/__init__.py</t>
        </is>
      </c>
      <c r="J99" t="inlineStr">
        <is>
          <t>6.2</t>
        </is>
      </c>
      <c r="K99" t="inlineStr">
        <is>
          <t>2026-08-14</t>
        </is>
      </c>
      <c r="M99" t="inlineStr">
        <is>
          <t>Squelette fonctionnel et testé (comptage), synchro réelle à brancher en Phase 7.</t>
        </is>
      </c>
    </row>
    <row r="100">
      <c r="A100" t="inlineStr">
        <is>
          <t>6.9</t>
        </is>
      </c>
      <c r="B100" t="inlineStr">
        <is>
          <t>Phase 6</t>
        </is>
      </c>
      <c r="C100" t="inlineStr">
        <is>
          <t>Backend</t>
        </is>
      </c>
      <c r="D100" t="inlineStr">
        <is>
          <t>🟡 Haute</t>
        </is>
      </c>
      <c r="E100" t="inlineStr">
        <is>
          <t>Réglages tenant document_blocking_expired / vacation_delay_threshold_minutes (§4.3)</t>
        </is>
      </c>
      <c r="F100" t="inlineStr">
        <is>
          <t>Colonnes Tenant, éditables par l'admin du TENANT (pas ADMIN global, contrairement aux channel_*) via GET/PUT /api/settings/general. Indépendants d'ERP mais posés dès cette phase — prérequis Phases 9/10 (blocage documentaire, alerte no-show planning). Non prévu dans les 6 lignes d'origine, listé au §5.</t>
        </is>
      </c>
      <c r="G100" t="inlineStr">
        <is>
          <t>Complété</t>
        </is>
      </c>
      <c r="I100" t="inlineStr">
        <is>
          <t>backend/app/models/tenant.py · app/routes/settings.py · migrations/versions/c1b16fed65e1_erp_foundations.py</t>
        </is>
      </c>
      <c r="J100" t="inlineStr">
        <is>
          <t>6.1</t>
        </is>
      </c>
      <c r="K100" t="inlineStr">
        <is>
          <t>2026-08-14</t>
        </is>
      </c>
      <c r="L100" t="inlineStr">
        <is>
          <t>2026-08-14</t>
        </is>
      </c>
    </row>
    <row r="101">
      <c r="A101" t="inlineStr">
        <is>
          <t>6.10</t>
        </is>
      </c>
      <c r="B101" t="inlineStr">
        <is>
          <t>Phase 6</t>
        </is>
      </c>
      <c r="C101" t="inlineStr">
        <is>
          <t>Backend</t>
        </is>
      </c>
      <c r="D101" t="inlineStr">
        <is>
          <t>🟡 Haute</t>
        </is>
      </c>
      <c r="E101" t="inlineStr">
        <is>
          <t>Accès direct ERP audité pour ADMIN global (§4.4)</t>
        </is>
      </c>
      <c r="F101" t="inlineStr">
        <is>
          <t>GET /api/erp/direct-access (role_required(ADMIN), pas tenant_admin_required) — retourne url_erp/admin_username/admin_password déchiffrés (EncryptedText). Chaque appel trace une ligne AuditLog (table_name='erp', event ERP_DIRECT_ACCESS_VIEWED), motif _log_audit() de routes/auth.py. Non prévu dans les 6 lignes d'origine, listé au §5.</t>
        </is>
      </c>
      <c r="G101" t="inlineStr">
        <is>
          <t>Complété</t>
        </is>
      </c>
      <c r="I101" t="inlineStr">
        <is>
          <t>backend/app/routes/erp.py (nouveau) · app/__init__.py</t>
        </is>
      </c>
      <c r="J101" t="inlineStr">
        <is>
          <t>6.2</t>
        </is>
      </c>
      <c r="K101" t="inlineStr">
        <is>
          <t>2026-08-14</t>
        </is>
      </c>
      <c r="L101" t="inlineStr">
        <is>
          <t>2026-08-14</t>
        </is>
      </c>
      <c r="M101" t="inlineStr">
        <is>
          <t>Pas de route d'ÉCRITURE pour url_erp/admin_username/admin_password dans cette passe (le plan ne spécifiait qu'un GET) — saisie directe en base au déploiement, ou futur écran Support/Réglages plateforme. Bouton frontend 'Accès direct ERP' également hors scope de cette passe backend-first.</t>
        </is>
      </c>
    </row>
  </sheetData>
  <autoFilter ref="A4:M28"/>
  <mergeCells count="2">
    <mergeCell ref="A2:M2"/>
    <mergeCell ref="A1:M1"/>
  </mergeCells>
  <dataValidations count="1">
    <dataValidation sqref="G5:G28" showDropDown="0" showInputMessage="0" showErrorMessage="1" allowBlank="0" errorTitle="Valeur invalide" error="Choisir: À faire, En cours, Complété, Bloqué, Abandonné" type="list" errorStyle="stop" operator="between">
      <formula1>"À faire,En cours,Complété,Bloqué,Abandonné"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7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51" min="1" max="1"/>
    <col width="10" customWidth="1" style="51" min="2" max="2"/>
    <col width="50" customWidth="1" style="51" min="3" max="3"/>
    <col width="16" customWidth="1" style="51" min="4" max="5"/>
    <col width="50" customWidth="1" style="51" min="6" max="6"/>
  </cols>
  <sheetData>
    <row r="1" ht="34.5" customHeight="1" s="52">
      <c r="A1" s="107" t="inlineStr">
        <is>
          <t>CHANGELOG — HISTORIQUE DES MISES À JOUR</t>
        </is>
      </c>
    </row>
    <row r="2" ht="25.5" customHeight="1" s="52">
      <c r="A2" s="108" t="inlineStr">
        <is>
          <t>Date</t>
        </is>
      </c>
      <c r="B2" s="108" t="inlineStr">
        <is>
          <t>Tâche ID</t>
        </is>
      </c>
      <c r="C2" s="108" t="inlineStr">
        <is>
          <t>Titre</t>
        </is>
      </c>
      <c r="D2" s="108" t="inlineStr">
        <is>
          <t>Ancien statut</t>
        </is>
      </c>
      <c r="E2" s="108" t="inlineStr">
        <is>
          <t>Nouveau statut</t>
        </is>
      </c>
      <c r="F2" s="108" t="inlineStr">
        <is>
          <t>Commentaire</t>
        </is>
      </c>
    </row>
    <row r="3" ht="21.75" customHeight="1" s="52">
      <c r="A3" s="109" t="inlineStr">
        <is>
          <t>2026-05-10</t>
        </is>
      </c>
      <c r="B3" s="109" t="inlineStr">
        <is>
          <t>—</t>
        </is>
      </c>
      <c r="C3" s="109" t="inlineStr">
        <is>
          <t>Création du fichier de suivi</t>
        </is>
      </c>
      <c r="D3" s="109" t="inlineStr">
        <is>
          <t>—</t>
        </is>
      </c>
      <c r="E3" s="109" t="inlineStr">
        <is>
          <t>Initialisé</t>
        </is>
      </c>
      <c r="F3" s="109" t="inlineStr">
        <is>
          <t>Audit initial du 2026-05-10</t>
        </is>
      </c>
    </row>
    <row r="4" ht="27.75" customHeight="1" s="52">
      <c r="A4" s="110" t="inlineStr">
        <is>
          <t>2026-05-10</t>
        </is>
      </c>
      <c r="B4" s="110" t="inlineStr">
        <is>
          <t>1.1</t>
        </is>
      </c>
      <c r="C4" s="110" t="inlineStr">
        <is>
          <t>Réactiver @tenant_required() sur clients/sites/contacts</t>
        </is>
      </c>
      <c r="D4" s="110" t="inlineStr">
        <is>
          <t>À faire</t>
        </is>
      </c>
      <c r="E4" s="110" t="inlineStr">
        <is>
          <t>Complété</t>
        </is>
      </c>
      <c r="F4" s="110" t="inlineStr">
        <is>
          <t>Fix imports backend.app.utils → app.utils. Corrigé delete_contact (jwt→tenant_required). Corrigé demandes.py.</t>
        </is>
      </c>
    </row>
    <row r="5" ht="27.75" customHeight="1" s="52">
      <c r="A5" s="111" t="inlineStr">
        <is>
          <t>2026-05-10</t>
        </is>
      </c>
      <c r="B5" s="111" t="inlineStr">
        <is>
          <t>1.2</t>
        </is>
      </c>
      <c r="C5" s="111" t="inlineStr">
        <is>
          <t>Appliquer @role_required() aux endpoints d'administration</t>
        </is>
      </c>
      <c r="D5" s="111" t="inlineStr">
        <is>
          <t>À faire</t>
        </is>
      </c>
      <c r="E5" s="111" t="inlineStr">
        <is>
          <t>Complété</t>
        </is>
      </c>
      <c r="F5" s="111" t="inlineStr">
        <is>
          <t>ADMIN requis sur update_user, update_user_status, add/update/remove tenant users. Fix import users.py.</t>
        </is>
      </c>
    </row>
    <row r="6" ht="27.75" customHeight="1" s="52">
      <c r="A6" s="110" t="inlineStr">
        <is>
          <t>2026-05-10</t>
        </is>
      </c>
      <c r="B6" s="110" t="inlineStr">
        <is>
          <t>1.3</t>
        </is>
      </c>
      <c r="C6" s="110" t="inlineStr">
        <is>
          <t>Corriger docker-compose.yml (pas de secrets hardcodés)</t>
        </is>
      </c>
      <c r="D6" s="110" t="inlineStr">
        <is>
          <t>À faire</t>
        </is>
      </c>
      <c r="E6" s="110" t="inlineStr">
        <is>
          <t>Complété</t>
        </is>
      </c>
      <c r="F6" s="110" t="inlineStr">
        <is>
          <t>Toutes les valeurs via ${VAR}. Healthcheck DB. .env racine créé. .env.example documenté.</t>
        </is>
      </c>
    </row>
    <row r="7" ht="27.75" customHeight="1" s="52">
      <c r="A7" s="111" t="inlineStr">
        <is>
          <t>2026-05-10</t>
        </is>
      </c>
      <c r="B7" s="111" t="inlineStr">
        <is>
          <t>1.4</t>
        </is>
      </c>
      <c r="C7" s="111" t="inlineStr">
        <is>
          <t>Guard router branché sur Pinia</t>
        </is>
      </c>
      <c r="D7" s="111" t="inlineStr">
        <is>
          <t>À faire</t>
        </is>
      </c>
      <c r="E7" s="111" t="inlineStr">
        <is>
          <t>Complété</t>
        </is>
      </c>
      <c r="F7" s="111" t="inlineStr">
        <is>
          <t>useAuthStore.isAuthenticated. meta.guestOnly sur /login. returnUrl mémorisé. Bypass dev supprimé.</t>
        </is>
      </c>
    </row>
    <row r="8" ht="27.75" customHeight="1" s="52">
      <c r="A8" s="110" t="inlineStr">
        <is>
          <t>2026-05-10</t>
        </is>
      </c>
      <c r="B8" s="110" t="inlineStr">
        <is>
          <t>1.5</t>
        </is>
      </c>
      <c r="C8" s="110" t="inlineStr">
        <is>
          <t>Intercepteur refresh automatique</t>
        </is>
      </c>
      <c r="D8" s="110" t="inlineStr">
        <is>
          <t>À faire</t>
        </is>
      </c>
      <c r="E8" s="110" t="inlineStr">
        <is>
          <t>Complété</t>
        </is>
      </c>
      <c r="F8" s="110" t="inlineStr">
        <is>
          <t>File d'attente failedQueue, flag isRefreshing, retry _retry. logoutSilent + redirect si refresh échoue.</t>
        </is>
      </c>
    </row>
    <row r="9" ht="19.5" customHeight="1" s="52">
      <c r="A9" s="114" t="inlineStr">
        <is>
          <t>2026-08-14</t>
        </is>
      </c>
      <c r="B9" s="114" t="inlineStr">
        <is>
          <t>2.1</t>
        </is>
      </c>
      <c r="C9" s="114" t="inlineStr">
        <is>
          <t>Réactiver et compléter le blueprint Prestataires</t>
        </is>
      </c>
      <c r="D9" s="114" t="inlineStr">
        <is>
          <t>À faire</t>
        </is>
      </c>
      <c r="E9" s="114" t="inlineStr">
        <is>
          <t>Complété</t>
        </is>
      </c>
      <c r="F9" s="114" t="inlineStr">
        <is>
          <t>Audit 14/08 : déjà implémenté (voir Notes ligne)</t>
        </is>
      </c>
    </row>
    <row r="10" ht="19.5" customHeight="1" s="52">
      <c r="A10" s="113" t="inlineStr">
        <is>
          <t>2026-08-14</t>
        </is>
      </c>
      <c r="B10" s="113" t="inlineStr">
        <is>
          <t>2.2</t>
        </is>
      </c>
      <c r="C10" s="113" t="inlineStr">
        <is>
          <t>Créer les routes Agents de sécurité</t>
        </is>
      </c>
      <c r="D10" s="113" t="inlineStr">
        <is>
          <t>À faire</t>
        </is>
      </c>
      <c r="E10" s="113" t="inlineStr">
        <is>
          <t>Complété</t>
        </is>
      </c>
      <c r="F10" s="113" t="inlineStr">
        <is>
          <t>Audit 14/08 : déjà implémenté (voir Notes ligne)</t>
        </is>
      </c>
    </row>
    <row r="11" ht="19.5" customHeight="1" s="52">
      <c r="A11" s="114" t="inlineStr">
        <is>
          <t>2026-08-14</t>
        </is>
      </c>
      <c r="B11" s="114" t="inlineStr">
        <is>
          <t>2.3</t>
        </is>
      </c>
      <c r="C11" s="114" t="inlineStr">
        <is>
          <t>Créer les routes Interactions</t>
        </is>
      </c>
      <c r="D11" s="114" t="inlineStr">
        <is>
          <t>À faire</t>
        </is>
      </c>
      <c r="E11" s="114" t="inlineStr">
        <is>
          <t>Complété</t>
        </is>
      </c>
      <c r="F11" s="114" t="inlineStr">
        <is>
          <t>Audit 14/08 : déjà implémenté (voir Notes ligne)</t>
        </is>
      </c>
    </row>
    <row r="12" ht="19.5" customHeight="1" s="52">
      <c r="A12" s="113" t="inlineStr">
        <is>
          <t>2026-08-14</t>
        </is>
      </c>
      <c r="B12" s="113" t="inlineStr">
        <is>
          <t>2.4</t>
        </is>
      </c>
      <c r="C12" s="113" t="inlineStr">
        <is>
          <t>Créer les routes Fichiers (upload/download)</t>
        </is>
      </c>
      <c r="D12" s="113" t="inlineStr">
        <is>
          <t>À faire</t>
        </is>
      </c>
      <c r="E12" s="113" t="inlineStr">
        <is>
          <t>À faire</t>
        </is>
      </c>
      <c r="F12" s="113" t="inlineStr">
        <is>
          <t>Audit 14/08 : confirmé toujours non fait (aucune route/modèle Fichier câblé)</t>
        </is>
      </c>
    </row>
    <row r="13" ht="19.5" customHeight="1" s="52">
      <c r="A13" s="114" t="inlineStr">
        <is>
          <t>2026-08-14</t>
        </is>
      </c>
      <c r="B13" s="114" t="inlineStr">
        <is>
          <t>2.5</t>
        </is>
      </c>
      <c r="C13" s="114" t="inlineStr">
        <is>
          <t>Implémenter le flow select-tenant côté frontend</t>
        </is>
      </c>
      <c r="D13" s="114" t="inlineStr">
        <is>
          <t>À faire</t>
        </is>
      </c>
      <c r="E13" s="114" t="inlineStr">
        <is>
          <t>Complété</t>
        </is>
      </c>
      <c r="F13" s="114" t="inlineStr">
        <is>
          <t>Audit 14/08 : déjà implémenté (voir Notes ligne)</t>
        </is>
      </c>
    </row>
    <row r="14" ht="19.5" customHeight="1" s="52">
      <c r="A14" s="113" t="inlineStr">
        <is>
          <t>2026-08-14</t>
        </is>
      </c>
      <c r="B14" s="113" t="inlineStr">
        <is>
          <t>3.1</t>
        </is>
      </c>
      <c r="C14" s="113" t="inlineStr">
        <is>
          <t>Tests Auth</t>
        </is>
      </c>
      <c r="D14" s="113" t="inlineStr">
        <is>
          <t>À faire</t>
        </is>
      </c>
      <c r="E14" s="113" t="inlineStr">
        <is>
          <t>Complété</t>
        </is>
      </c>
      <c r="F14" s="113" t="inlineStr">
        <is>
          <t>Audit 14/08 : fichiers de tests existent (394 tests backend au total)</t>
        </is>
      </c>
    </row>
    <row r="15" ht="19.5" customHeight="1" s="52">
      <c r="A15" s="114" t="inlineStr">
        <is>
          <t>2026-08-14</t>
        </is>
      </c>
      <c r="B15" s="114" t="inlineStr">
        <is>
          <t>3.2</t>
        </is>
      </c>
      <c r="C15" s="114" t="inlineStr">
        <is>
          <t>Tests Clients/Sites/Contacts</t>
        </is>
      </c>
      <c r="D15" s="114" t="inlineStr">
        <is>
          <t>À faire</t>
        </is>
      </c>
      <c r="E15" s="114" t="inlineStr">
        <is>
          <t>Complété</t>
        </is>
      </c>
      <c r="F15" s="114" t="inlineStr">
        <is>
          <t>Audit 14/08 : fichiers de tests existent (394 tests backend au total)</t>
        </is>
      </c>
    </row>
    <row r="16" ht="19.5" customHeight="1" s="52">
      <c r="A16" s="113" t="inlineStr">
        <is>
          <t>2026-08-14</t>
        </is>
      </c>
      <c r="B16" s="113" t="inlineStr">
        <is>
          <t>3.3</t>
        </is>
      </c>
      <c r="C16" s="113" t="inlineStr">
        <is>
          <t>Tests Users &amp; Demandes</t>
        </is>
      </c>
      <c r="D16" s="113" t="inlineStr">
        <is>
          <t>À faire</t>
        </is>
      </c>
      <c r="E16" s="113" t="inlineStr">
        <is>
          <t>Complété</t>
        </is>
      </c>
      <c r="F16" s="113" t="inlineStr">
        <is>
          <t>Audit 14/08 : fichiers de tests existent (394 tests backend au total)</t>
        </is>
      </c>
    </row>
    <row r="17" ht="19.5" customHeight="1" s="52">
      <c r="A17" s="114" t="inlineStr">
        <is>
          <t>2026-08-14</t>
        </is>
      </c>
      <c r="B17" s="114" t="inlineStr">
        <is>
          <t>3.4</t>
        </is>
      </c>
      <c r="C17" s="114" t="inlineStr">
        <is>
          <t>Tests Interactions &amp; Fichiers</t>
        </is>
      </c>
      <c r="D17" s="114" t="inlineStr">
        <is>
          <t>À faire</t>
        </is>
      </c>
      <c r="E17" s="114" t="inlineStr">
        <is>
          <t>Complété</t>
        </is>
      </c>
      <c r="F17" s="114" t="inlineStr">
        <is>
          <t>Audit 14/08 : fichiers de tests existent (394 tests backend au total)</t>
        </is>
      </c>
    </row>
    <row r="18" ht="19.5" customHeight="1" s="52">
      <c r="A18" s="113" t="inlineStr">
        <is>
          <t>2026-08-14</t>
        </is>
      </c>
      <c r="B18" s="113" t="inlineStr">
        <is>
          <t>4.1</t>
        </is>
      </c>
      <c r="C18" s="113" t="inlineStr">
        <is>
          <t>Services API génériques</t>
        </is>
      </c>
      <c r="D18" s="113" t="inlineStr">
        <is>
          <t>À faire</t>
        </is>
      </c>
      <c r="E18" s="113" t="inlineStr">
        <is>
          <t>Complété</t>
        </is>
      </c>
      <c r="F18" s="113" t="inlineStr">
        <is>
          <t>Audit 14/08 : frontend livré (architecture différente du plan initial, voir Notes)</t>
        </is>
      </c>
    </row>
    <row r="19" ht="19.5" customHeight="1" s="52">
      <c r="A19" s="114" t="inlineStr">
        <is>
          <t>2026-08-14</t>
        </is>
      </c>
      <c r="B19" s="114" t="inlineStr">
        <is>
          <t>4.2</t>
        </is>
      </c>
      <c r="C19" s="114" t="inlineStr">
        <is>
          <t>Vue Clients</t>
        </is>
      </c>
      <c r="D19" s="114" t="inlineStr">
        <is>
          <t>À faire</t>
        </is>
      </c>
      <c r="E19" s="114" t="inlineStr">
        <is>
          <t>Complété</t>
        </is>
      </c>
      <c r="F19" s="114" t="inlineStr">
        <is>
          <t>Audit 14/08 : frontend livré (architecture différente du plan initial, voir Notes)</t>
        </is>
      </c>
    </row>
    <row r="20" ht="19.5" customHeight="1" s="52">
      <c r="A20" s="113" t="inlineStr">
        <is>
          <t>2026-08-14</t>
        </is>
      </c>
      <c r="B20" s="113" t="inlineStr">
        <is>
          <t>4.3</t>
        </is>
      </c>
      <c r="C20" s="113" t="inlineStr">
        <is>
          <t>Vue Sites &amp; Contacts</t>
        </is>
      </c>
      <c r="D20" s="113" t="inlineStr">
        <is>
          <t>À faire</t>
        </is>
      </c>
      <c r="E20" s="113" t="inlineStr">
        <is>
          <t>Complété</t>
        </is>
      </c>
      <c r="F20" s="113" t="inlineStr">
        <is>
          <t>Audit 14/08 : frontend livré (architecture différente du plan initial, voir Notes)</t>
        </is>
      </c>
    </row>
    <row r="21" ht="19.5" customHeight="1" s="52">
      <c r="A21" s="114" t="inlineStr">
        <is>
          <t>2026-08-14</t>
        </is>
      </c>
      <c r="B21" s="114" t="inlineStr">
        <is>
          <t>4.4</t>
        </is>
      </c>
      <c r="C21" s="114" t="inlineStr">
        <is>
          <t>Vue Demandes</t>
        </is>
      </c>
      <c r="D21" s="114" t="inlineStr">
        <is>
          <t>À faire</t>
        </is>
      </c>
      <c r="E21" s="114" t="inlineStr">
        <is>
          <t>Complété</t>
        </is>
      </c>
      <c r="F21" s="114" t="inlineStr">
        <is>
          <t>Audit 14/08 : frontend livré (architecture différente du plan initial, voir Notes)</t>
        </is>
      </c>
    </row>
    <row r="22" ht="19.5" customHeight="1" s="52">
      <c r="A22" s="113" t="inlineStr">
        <is>
          <t>2026-08-14</t>
        </is>
      </c>
      <c r="B22" s="113" t="inlineStr">
        <is>
          <t>4.5</t>
        </is>
      </c>
      <c r="C22" s="113" t="inlineStr">
        <is>
          <t>Dashboard sur API réelle</t>
        </is>
      </c>
      <c r="D22" s="113" t="inlineStr">
        <is>
          <t>À faire</t>
        </is>
      </c>
      <c r="E22" s="113" t="inlineStr">
        <is>
          <t>Complété</t>
        </is>
      </c>
      <c r="F22" s="113" t="inlineStr">
        <is>
          <t>Audit 14/08 : frontend livré (architecture différente du plan initial, voir Notes)</t>
        </is>
      </c>
    </row>
    <row r="23" ht="19.5" customHeight="1" s="52">
      <c r="A23" s="114" t="inlineStr">
        <is>
          <t>2026-08-14</t>
        </is>
      </c>
      <c r="B23" s="114" t="inlineStr">
        <is>
          <t>4.6</t>
        </is>
      </c>
      <c r="C23" s="114" t="inlineStr">
        <is>
          <t>Navigation globale</t>
        </is>
      </c>
      <c r="D23" s="114" t="inlineStr">
        <is>
          <t>À faire</t>
        </is>
      </c>
      <c r="E23" s="114" t="inlineStr">
        <is>
          <t>Complété</t>
        </is>
      </c>
      <c r="F23" s="114" t="inlineStr">
        <is>
          <t>Audit 14/08 : frontend livré (architecture différente du plan initial, voir Notes)</t>
        </is>
      </c>
    </row>
    <row r="24" ht="19.5" customHeight="1" s="52">
      <c r="A24" s="113" t="inlineStr">
        <is>
          <t>2026-08-14</t>
        </is>
      </c>
      <c r="B24" s="113" t="inlineStr">
        <is>
          <t>5.2</t>
        </is>
      </c>
      <c r="C24" s="113" t="inlineStr">
        <is>
          <t>Vérifier SQLALCHEMY_ECHO désactivé en prod</t>
        </is>
      </c>
      <c r="D24" s="113" t="inlineStr">
        <is>
          <t>À faire</t>
        </is>
      </c>
      <c r="E24" s="113" t="inlineStr">
        <is>
          <t>Complété</t>
        </is>
      </c>
      <c r="F24" s="113" t="inlineStr">
        <is>
          <t>Audit 14/08 : ProductionConfig.SQLALCHEMY_ECHO=False confirmé</t>
        </is>
      </c>
    </row>
    <row r="25" ht="19.5" customHeight="1" s="52">
      <c r="A25" s="114" t="inlineStr">
        <is>
          <t>2026-08-14</t>
        </is>
      </c>
      <c r="B25" s="114" t="inlineStr">
        <is>
          <t>5.3</t>
        </is>
      </c>
      <c r="C25" s="114" t="inlineStr">
        <is>
          <t>Mettre à jour README.md et PROJECT_STRUCTURE.md</t>
        </is>
      </c>
      <c r="D25" s="114" t="inlineStr">
        <is>
          <t>À faire</t>
        </is>
      </c>
      <c r="E25" s="114" t="inlineStr">
        <is>
          <t>Complété</t>
        </is>
      </c>
      <c r="F25" s="114" t="inlineStr">
        <is>
          <t>Audit 14/08 : maintenus en continu via changelogs versionnés</t>
        </is>
      </c>
    </row>
    <row r="26" ht="19.5" customHeight="1" s="52">
      <c r="A26" s="113" t="inlineStr">
        <is>
          <t>2026-08-14</t>
        </is>
      </c>
      <c r="B26" s="113" t="inlineStr">
        <is>
          <t>13.1 (plan initial)</t>
        </is>
      </c>
      <c r="C26" s="113" t="inlineStr">
        <is>
          <t>SupervisionTelephonieView.vue</t>
        </is>
      </c>
      <c r="D26" s="113" t="inlineStr">
        <is>
          <t>À faire</t>
        </is>
      </c>
      <c r="E26" s="113" t="inlineStr">
        <is>
          <t>Complété</t>
        </is>
      </c>
      <c r="F26" s="113" t="inlineStr">
        <is>
          <t>Audit 14/08 : objectif atteint via implémentation réelle (13.1/13.2 dupliqués plus bas dans Tâches) — Phase renommée Phase 13 (plan initial) pour ne plus fausser le COUNTIFS</t>
        </is>
      </c>
    </row>
    <row r="27" ht="19.5" customHeight="1" s="52">
      <c r="A27" s="114" t="inlineStr">
        <is>
          <t>2026-08-14</t>
        </is>
      </c>
      <c r="B27" s="114" t="inlineStr">
        <is>
          <t>13.2 (plan initial)</t>
        </is>
      </c>
      <c r="C27" s="114" t="inlineStr">
        <is>
          <t>Composable useTelephonySocket</t>
        </is>
      </c>
      <c r="D27" s="114" t="inlineStr">
        <is>
          <t>À faire</t>
        </is>
      </c>
      <c r="E27" s="114" t="inlineStr">
        <is>
          <t>Complété</t>
        </is>
      </c>
      <c r="F27" s="114" t="inlineStr">
        <is>
          <t>Audit 14/08 : objectif atteint via implémentation réelle (13.1/13.2 dupliqués plus bas dans Tâches) — Phase renommée Phase 13 (plan initial) pour ne plus fausser le COUNTIFS</t>
        </is>
      </c>
    </row>
    <row r="28" ht="19.5" customHeight="1" s="52">
      <c r="A28" s="113" t="inlineStr">
        <is>
          <t>2026-08-14</t>
        </is>
      </c>
      <c r="B28" s="113" t="inlineStr">
        <is>
          <t>13.3 (plan initial)</t>
        </is>
      </c>
      <c r="C28" s="113" t="inlineStr">
        <is>
          <t>Store Pinia useTelephonyStore</t>
        </is>
      </c>
      <c r="D28" s="113" t="inlineStr">
        <is>
          <t>À faire</t>
        </is>
      </c>
      <c r="E28" s="113" t="inlineStr">
        <is>
          <t>Complété</t>
        </is>
      </c>
      <c r="F28" s="113" t="inlineStr">
        <is>
          <t>Audit 14/08 : objectif atteint via implémentation réelle (13.1/13.2 dupliqués plus bas dans Tâches) — Phase renommée Phase 13 (plan initial) pour ne plus fausser le COUNTIFS</t>
        </is>
      </c>
    </row>
    <row r="29" ht="19.5" customHeight="1" s="52">
      <c r="A29" s="114" t="inlineStr">
        <is>
          <t>2026-08-14</t>
        </is>
      </c>
      <c r="B29" s="114" t="inlineStr">
        <is>
          <t>13.4 (plan initial)</t>
        </is>
      </c>
      <c r="C29" s="114" t="inlineStr">
        <is>
          <t>TelephonyKpiCards/ActiveCallsTable/AgentsGrid</t>
        </is>
      </c>
      <c r="D29" s="114" t="inlineStr">
        <is>
          <t>À faire</t>
        </is>
      </c>
      <c r="E29" s="114" t="inlineStr">
        <is>
          <t>Complété</t>
        </is>
      </c>
      <c r="F29" s="114" t="inlineStr">
        <is>
          <t>Audit 14/08 : objectif atteint via implémentation réelle (13.1/13.2 dupliqués plus bas dans Tâches) — Phase renommée Phase 13 (plan initial) pour ne plus fausser le COUNTIFS</t>
        </is>
      </c>
    </row>
    <row r="30" ht="19.5" customHeight="1" s="52">
      <c r="A30" s="113" t="inlineStr">
        <is>
          <t>2026-08-14</t>
        </is>
      </c>
      <c r="B30" s="113" t="inlineStr">
        <is>
          <t>13.5 (plan initial)</t>
        </is>
      </c>
      <c r="C30" s="113" t="inlineStr">
        <is>
          <t>Réglages connecteurs PBX (UI)</t>
        </is>
      </c>
      <c r="D30" s="113" t="inlineStr">
        <is>
          <t>À faire</t>
        </is>
      </c>
      <c r="E30" s="113" t="inlineStr">
        <is>
          <t>Complété</t>
        </is>
      </c>
      <c r="F30" s="113" t="inlineStr">
        <is>
          <t>Audit 14/08 : objectif atteint via implémentation réelle (13.1/13.2 dupliqués plus bas dans Tâches) — Phase renommée Phase 13 (plan initial) pour ne plus fausser le COUNTIFS</t>
        </is>
      </c>
    </row>
    <row r="31" ht="19.5" customHeight="1" s="52">
      <c r="A31" s="114" t="inlineStr">
        <is>
          <t>2026-08-14</t>
        </is>
      </c>
      <c r="B31" s="114" t="inlineStr">
        <is>
          <t>14.1→15.1</t>
        </is>
      </c>
      <c r="C31" s="114" t="inlineStr">
        <is>
          <t>AMIAdapter (Asterisk)</t>
        </is>
      </c>
      <c r="D31" s="114" t="inlineStr">
        <is>
          <t>À faire</t>
        </is>
      </c>
      <c r="E31" s="114" t="inlineStr">
        <is>
          <t>À faire</t>
        </is>
      </c>
      <c r="F31" s="114" t="inlineStr">
        <is>
          <t>Audit 14/08 : renuméroté Phase 14→Phase 15 (la vraie Phase 14 est Webhook CDR+Rapports) — statut inchangé, toujours exact</t>
        </is>
      </c>
    </row>
    <row r="32" ht="19.5" customHeight="1" s="52">
      <c r="A32" s="113" t="inlineStr">
        <is>
          <t>2026-08-14</t>
        </is>
      </c>
      <c r="B32" s="113" t="inlineStr">
        <is>
          <t>14.2→15.2</t>
        </is>
      </c>
      <c r="C32" s="113" t="inlineStr">
        <is>
          <t>Validation architecture Adapter</t>
        </is>
      </c>
      <c r="D32" s="113" t="inlineStr">
        <is>
          <t>À faire</t>
        </is>
      </c>
      <c r="E32" s="113" t="inlineStr">
        <is>
          <t>À faire</t>
        </is>
      </c>
      <c r="F32" s="113" t="inlineStr">
        <is>
          <t>Audit 14/08 : renuméroté Phase 14→Phase 15, voir 15.1 — statut inchangé, toujours exact</t>
        </is>
      </c>
    </row>
    <row r="33" ht="19.5" customHeight="1" s="52">
      <c r="A33" s="114" t="inlineStr">
        <is>
          <t>2026-08-14</t>
        </is>
      </c>
      <c r="B33" s="114" t="inlineStr">
        <is>
          <t>12.12</t>
        </is>
      </c>
      <c r="C33" s="114" t="inlineStr">
        <is>
          <t>Exécution à distance ESL (login/logout/statut agent)</t>
        </is>
      </c>
      <c r="D33" s="114" t="inlineStr">
        <is>
          <t>—</t>
        </is>
      </c>
      <c r="E33" s="114" t="inlineStr">
        <is>
          <t>Complété</t>
        </is>
      </c>
      <c r="F33" s="114" t="inlineStr">
        <is>
          <t>Nouvelle tâche ajoutée (travaux du 13-14/08)</t>
        </is>
      </c>
    </row>
    <row r="34" ht="19.5" customHeight="1" s="52">
      <c r="A34" s="113" t="inlineStr">
        <is>
          <t>2026-08-14</t>
        </is>
      </c>
      <c r="B34" s="113" t="inlineStr">
        <is>
          <t>12.13</t>
        </is>
      </c>
      <c r="C34" s="113" t="inlineStr">
        <is>
          <t>Codes de pause (pbx_pause_codes + CUSTOM event)</t>
        </is>
      </c>
      <c r="D34" s="113" t="inlineStr">
        <is>
          <t>—</t>
        </is>
      </c>
      <c r="E34" s="113" t="inlineStr">
        <is>
          <t>Complété</t>
        </is>
      </c>
      <c r="F34" s="113" t="inlineStr">
        <is>
          <t>Nouvelle tâche ajoutée (travaux du 13-14/08)</t>
        </is>
      </c>
    </row>
    <row r="35" ht="19.5" customHeight="1" s="52">
      <c r="A35" s="114" t="inlineStr">
        <is>
          <t>2026-08-14</t>
        </is>
      </c>
      <c r="B35" s="114" t="inlineStr">
        <is>
          <t>12.14</t>
        </is>
      </c>
      <c r="C35" s="114" t="inlineStr">
        <is>
          <t>UserSession.status synchronisé + temps actif/pause</t>
        </is>
      </c>
      <c r="D35" s="114" t="inlineStr">
        <is>
          <t>—</t>
        </is>
      </c>
      <c r="E35" s="114" t="inlineStr">
        <is>
          <t>Complété</t>
        </is>
      </c>
      <c r="F35" s="114" t="inlineStr">
        <is>
          <t>Nouvelle tâche ajoutée (travaux du 13-14/08)</t>
        </is>
      </c>
    </row>
    <row r="36" ht="19.5" customHeight="1" s="52">
      <c r="A36" s="113" t="inlineStr">
        <is>
          <t>2026-08-14</t>
        </is>
      </c>
      <c r="B36" s="113" t="inlineStr">
        <is>
          <t>12.15</t>
        </is>
      </c>
      <c r="C36" s="113" t="inlineStr">
        <is>
          <t>RingingCallBar</t>
        </is>
      </c>
      <c r="D36" s="113" t="inlineStr">
        <is>
          <t>—</t>
        </is>
      </c>
      <c r="E36" s="113" t="inlineStr">
        <is>
          <t>Complété</t>
        </is>
      </c>
      <c r="F36" s="113" t="inlineStr">
        <is>
          <t>Nouvelle tâche ajoutée (travaux du 13-14/08)</t>
        </is>
      </c>
    </row>
    <row r="37" ht="19.5" customHeight="1" s="52">
      <c r="A37" s="114" t="inlineStr">
        <is>
          <t>2026-08-14</t>
        </is>
      </c>
      <c r="B37" s="114" t="inlineStr">
        <is>
          <t>16.1</t>
        </is>
      </c>
      <c r="C37" s="114" t="inlineStr">
        <is>
          <t>Rapport Prises de service enrichi</t>
        </is>
      </c>
      <c r="D37" s="114" t="inlineStr">
        <is>
          <t>—</t>
        </is>
      </c>
      <c r="E37" s="114" t="inlineStr">
        <is>
          <t>Complété</t>
        </is>
      </c>
      <c r="F37" s="114" t="inlineStr">
        <is>
          <t>Nouvelle tâche ajoutée (travaux du 13-14/08)</t>
        </is>
      </c>
    </row>
    <row r="38" ht="19.5" customHeight="1" s="52">
      <c r="A38" s="113" t="inlineStr">
        <is>
          <t>2026-08-14</t>
        </is>
      </c>
      <c r="B38" s="113" t="inlineStr">
        <is>
          <t>16.2</t>
        </is>
      </c>
      <c r="C38" s="113" t="inlineStr">
        <is>
          <t>Géolocalisation IP (drapeau pays)</t>
        </is>
      </c>
      <c r="D38" s="113" t="inlineStr">
        <is>
          <t>—</t>
        </is>
      </c>
      <c r="E38" s="113" t="inlineStr">
        <is>
          <t>Complété</t>
        </is>
      </c>
      <c r="F38" s="113" t="inlineStr">
        <is>
          <t>Nouvelle tâche ajoutée (travaux du 13-14/08)</t>
        </is>
      </c>
    </row>
    <row r="39" ht="19.5" customHeight="1" s="52">
      <c r="A39" s="114" t="inlineStr">
        <is>
          <t>2026-08-14</t>
        </is>
      </c>
      <c r="B39" s="114" t="inlineStr">
        <is>
          <t>16.3</t>
        </is>
      </c>
      <c r="C39" s="114" t="inlineStr">
        <is>
          <t>Refonte du filtre CDR</t>
        </is>
      </c>
      <c r="D39" s="114" t="inlineStr">
        <is>
          <t>—</t>
        </is>
      </c>
      <c r="E39" s="114" t="inlineStr">
        <is>
          <t>Complété</t>
        </is>
      </c>
      <c r="F39" s="114" t="inlineStr">
        <is>
          <t>Nouvelle tâche ajoutée (travaux du 13-14/08)</t>
        </is>
      </c>
    </row>
    <row r="40" ht="19.5" customHeight="1" s="52">
      <c r="A40" s="113" t="inlineStr">
        <is>
          <t>2026-08-14</t>
        </is>
      </c>
      <c r="B40" s="113" t="inlineStr">
        <is>
          <t>DOC-AUDIT-1</t>
        </is>
      </c>
      <c r="C40" s="113" t="inlineStr">
        <is>
          <t>Audit de conformité du registre des tâches</t>
        </is>
      </c>
      <c r="D40" s="113" t="inlineStr">
        <is>
          <t>—</t>
        </is>
      </c>
      <c r="E40" s="113" t="inlineStr">
        <is>
          <t>Complété</t>
        </is>
      </c>
      <c r="F40" s="113" t="inlineStr">
        <is>
          <t>Nouvelle tâche ajoutée (travaux du 13-14/08)</t>
        </is>
      </c>
    </row>
    <row r="41" ht="19.5" customHeight="1" s="52">
      <c r="A41" s="114" t="n"/>
      <c r="B41" s="114" t="n"/>
      <c r="C41" s="114" t="n"/>
      <c r="D41" s="114" t="n"/>
      <c r="E41" s="114" t="n"/>
      <c r="F41" s="114" t="n"/>
    </row>
    <row r="42" ht="19.5" customHeight="1" s="52">
      <c r="A42" s="113" t="n"/>
      <c r="B42" s="113" t="n"/>
      <c r="C42" s="113" t="n"/>
      <c r="D42" s="113" t="n"/>
      <c r="E42" s="113" t="n"/>
      <c r="F42" s="113" t="n"/>
    </row>
    <row r="43" ht="19.5" customHeight="1" s="52">
      <c r="A43" s="114" t="n"/>
      <c r="B43" s="114" t="n"/>
      <c r="C43" s="114" t="n"/>
      <c r="D43" s="114" t="n"/>
      <c r="E43" s="114" t="n"/>
      <c r="F43" s="114" t="n"/>
    </row>
    <row r="44" ht="19.5" customHeight="1" s="52">
      <c r="A44" s="113" t="n"/>
      <c r="B44" s="113" t="n"/>
      <c r="C44" s="113" t="n"/>
      <c r="D44" s="113" t="n"/>
      <c r="E44" s="113" t="n"/>
      <c r="F44" s="113" t="n"/>
    </row>
    <row r="45" ht="19.5" customHeight="1" s="52">
      <c r="A45" s="114" t="n"/>
      <c r="B45" s="114" t="n"/>
      <c r="C45" s="114" t="n"/>
      <c r="D45" s="114" t="n"/>
      <c r="E45" s="114" t="n"/>
      <c r="F45" s="114" t="n"/>
    </row>
    <row r="46" ht="19.5" customHeight="1" s="52">
      <c r="A46" s="113" t="n"/>
      <c r="B46" s="113" t="n"/>
      <c r="C46" s="113" t="n"/>
      <c r="D46" s="113" t="n"/>
      <c r="E46" s="113" t="n"/>
      <c r="F46" s="113" t="n"/>
    </row>
    <row r="47" ht="19.5" customHeight="1" s="52">
      <c r="A47" s="114" t="n"/>
      <c r="B47" s="114" t="n"/>
      <c r="C47" s="114" t="n"/>
      <c r="D47" s="114" t="n"/>
      <c r="E47" s="114" t="n"/>
      <c r="F47" s="114" t="n"/>
    </row>
    <row r="48" ht="19.5" customHeight="1" s="52">
      <c r="A48" s="113" t="n"/>
      <c r="B48" s="113" t="n"/>
      <c r="C48" s="113" t="n"/>
      <c r="D48" s="113" t="n"/>
      <c r="E48" s="113" t="n"/>
      <c r="F48" s="113" t="n"/>
    </row>
    <row r="49" ht="19.5" customHeight="1" s="52">
      <c r="A49" s="114" t="n"/>
      <c r="B49" s="114" t="n"/>
      <c r="C49" s="114" t="n"/>
      <c r="D49" s="114" t="n"/>
      <c r="E49" s="114" t="n"/>
      <c r="F49" s="114" t="n"/>
    </row>
    <row r="50" ht="19.5" customHeight="1" s="52">
      <c r="A50" s="113" t="n"/>
      <c r="B50" s="113" t="n"/>
      <c r="C50" s="113" t="n"/>
      <c r="D50" s="113" t="n"/>
      <c r="E50" s="113" t="n"/>
      <c r="F50" s="113" t="n"/>
    </row>
    <row r="51" ht="19.5" customHeight="1" s="52">
      <c r="A51" s="114" t="n"/>
      <c r="B51" s="114" t="n"/>
      <c r="C51" s="114" t="n"/>
      <c r="D51" s="114" t="n"/>
      <c r="E51" s="114" t="n"/>
      <c r="F51" s="114" t="n"/>
    </row>
    <row r="52" ht="19.5" customHeight="1" s="52">
      <c r="A52" s="113" t="n"/>
      <c r="B52" s="113" t="n"/>
      <c r="C52" s="113" t="n"/>
      <c r="D52" s="113" t="n"/>
      <c r="E52" s="113" t="n"/>
      <c r="F52" s="113" t="n"/>
    </row>
    <row r="53" ht="19.5" customHeight="1" s="52">
      <c r="A53" s="114" t="n"/>
      <c r="B53" s="114" t="n"/>
      <c r="C53" s="114" t="n"/>
      <c r="D53" s="114" t="n"/>
      <c r="E53" s="114" t="n"/>
      <c r="F53" s="114" t="n"/>
    </row>
    <row r="54">
      <c r="A54" s="114" t="inlineStr">
        <is>
          <t>2026-07-27</t>
        </is>
      </c>
      <c r="B54" s="114" t="inlineStr">
        <is>
          <t>—</t>
        </is>
      </c>
      <c r="C54" s="114" t="inlineStr">
        <is>
          <t>Ajout Phases 6-10 : intégration Odoo (add-on activable, planifiée)</t>
        </is>
      </c>
      <c r="D54" s="114" t="inlineStr">
        <is>
          <t>—</t>
        </is>
      </c>
      <c r="E54" s="114" t="inlineStr">
        <is>
          <t>Planifié</t>
        </is>
      </c>
      <c r="F54" s="114" t="inlineStr">
        <is>
          <t>Voir ODOO_INTEGRATION_PLAN.md — aucune implémentation lancée</t>
        </is>
      </c>
    </row>
    <row r="55">
      <c r="A55" s="114" t="inlineStr">
        <is>
          <t>2026-07-27</t>
        </is>
      </c>
      <c r="B55" s="114" t="inlineStr">
        <is>
          <t>—</t>
        </is>
      </c>
      <c r="C55" s="114" t="inlineStr">
        <is>
          <t>Ajout Phases 11-14 : Module Téléphonie (add-on activable, planifié)</t>
        </is>
      </c>
      <c r="D55" s="114" t="inlineStr">
        <is>
          <t>—</t>
        </is>
      </c>
      <c r="E55" s="114" t="inlineStr">
        <is>
          <t>Planifié</t>
        </is>
      </c>
      <c r="F55" s="114" t="inlineStr">
        <is>
          <t>Voir TELEPHONIE_INTEGRATION_PLAN.md — aucune implémentation lancée</t>
        </is>
      </c>
    </row>
    <row r="56">
      <c r="A56" s="114" t="inlineStr">
        <is>
          <t>2026-07-27</t>
        </is>
      </c>
      <c r="B56" s="114" t="inlineStr">
        <is>
          <t>13.2</t>
        </is>
      </c>
      <c r="C56" s="114" t="inlineStr">
        <is>
          <t>Révision Téléphonie : WebSocket retenu (remplace le polling), ajout Phase 11bis (infra Flask-SocketIO)</t>
        </is>
      </c>
      <c r="D56" s="114" t="inlineStr">
        <is>
          <t>—</t>
        </is>
      </c>
      <c r="E56" s="114" t="inlineStr">
        <is>
          <t>Planifié</t>
        </is>
      </c>
      <c r="F56" s="114" t="inlineStr">
        <is>
          <t>Décision du porteur de projet — voir TELEPHONIE_INTEGRATION_PLAN.md §2.1</t>
        </is>
      </c>
    </row>
    <row r="57">
      <c r="A57" s="114" t="inlineStr">
        <is>
          <t>2026-07-27</t>
        </is>
      </c>
      <c r="B57" s="114" t="inlineStr">
        <is>
          <t>11.1-11.7</t>
        </is>
      </c>
      <c r="C57" s="114" t="inlineStr">
        <is>
          <t>Phase 11 (fondations backend Téléphonie) implémentée</t>
        </is>
      </c>
      <c r="D57" s="114" t="inlineStr">
        <is>
          <t>À faire</t>
        </is>
      </c>
      <c r="E57" s="114" t="inlineStr">
        <is>
          <t>Complété</t>
        </is>
      </c>
      <c r="F57" s="114" t="inlineStr">
        <is>
          <t>Migrations + modèles pbx_connectors/pbx_domains_tenants + extension telephony_events, routes/telephony.py (ingestion, KPIs, active-calls, CRUD connecteurs, settings tenant), tenant_features() mis à jour. 16 tests ajoutés, 188/188 verts.</t>
        </is>
      </c>
    </row>
    <row r="58">
      <c r="A58" s="51" t="inlineStr">
        <is>
          <t>2026-07-27</t>
        </is>
      </c>
      <c r="B58" s="51" t="inlineStr">
        <is>
          <t>11bis.1-11bis.3</t>
        </is>
      </c>
      <c r="C58" s="51" t="inlineStr">
        <is>
          <t>Phase 11bis (infra WebSocket) implémentée + validée en test de charge Docker réel</t>
        </is>
      </c>
      <c r="D58" s="51" t="inlineStr">
        <is>
          <t>À faire</t>
        </is>
      </c>
      <c r="E58" s="51" t="inlineStr">
        <is>
          <t>Complété</t>
        </is>
      </c>
    </row>
    <row r="59">
      <c r="A59" s="51" t="inlineStr">
        <is>
          <t>2026-07-27</t>
        </is>
      </c>
      <c r="B59" s="51" t="inlineStr">
        <is>
          <t>12.1-12.4, 12.6-12.8</t>
        </is>
      </c>
      <c r="C59" s="51" t="inlineStr">
        <is>
          <t>Phase 12 (connecteur FusionPBX/ESL) implémentée : Core Connector, ESLAdapter, bootstrap config, UI admin + réglages tenant</t>
        </is>
      </c>
      <c r="D59" s="51" t="inlineStr">
        <is>
          <t>À faire</t>
        </is>
      </c>
      <c r="E59" s="51" t="inlineStr">
        <is>
          <t>Complété</t>
        </is>
      </c>
    </row>
    <row r="60">
      <c r="A60" s="51" t="inlineStr">
        <is>
          <t>2026-07-27</t>
        </is>
      </c>
      <c r="B60" s="51" t="inlineStr">
        <is>
          <t>12.5</t>
        </is>
      </c>
      <c r="C60" s="51" t="inlineStr">
        <is>
          <t>Résilience connecteur : reconnexion/backoff faits, file Redis restante</t>
        </is>
      </c>
      <c r="D60" s="51" t="inlineStr">
        <is>
          <t>À faire</t>
        </is>
      </c>
      <c r="E60" s="51" t="inlineStr">
        <is>
          <t>En cours</t>
        </is>
      </c>
    </row>
    <row r="61">
      <c r="A61" s="51" t="inlineStr">
        <is>
          <t>2026-07-27</t>
        </is>
      </c>
      <c r="B61" s="51" t="inlineStr">
        <is>
          <t>12.7-12.9</t>
        </is>
      </c>
      <c r="C61" s="51" t="inlineStr">
        <is>
          <t>Pivot Phase 12 : connecteur PBX tenant-scope (comme SMTP/IMAP) + Sync temps reel Redis + heartbeat statut</t>
        </is>
      </c>
      <c r="D61" s="51" t="inlineStr">
        <is>
          <t>A faire</t>
        </is>
      </c>
      <c r="E61" s="51" t="inlineStr">
        <is>
          <t>Complete</t>
        </is>
      </c>
    </row>
    <row r="62">
      <c r="A62" s="51" t="inlineStr">
        <is>
          <t>2026-07-28</t>
        </is>
      </c>
      <c r="B62" s="51" t="inlineStr">
        <is>
          <t>12.10-12.11</t>
        </is>
      </c>
      <c r="C62" s="51" t="inlineStr">
        <is>
          <t>Deux bugs de production corriges (deadlock connecteur, routage WebSocket Nginx) suite au raccordement a un FusionPBX reel</t>
        </is>
      </c>
      <c r="D62" s="51" t="inlineStr">
        <is>
          <t>A faire</t>
        </is>
      </c>
      <c r="E62" s="51" t="inlineStr">
        <is>
          <t>Complété</t>
        </is>
      </c>
    </row>
    <row r="63">
      <c r="A63" s="51" t="inlineStr">
        <is>
          <t>2026-07-29</t>
        </is>
      </c>
      <c r="B63" s="51" t="inlineStr">
        <is>
          <t>13.1-14.4</t>
        </is>
      </c>
      <c r="C63" s="51" t="inlineStr">
        <is>
          <t>Phase 13/14 : config relocalisée sous Intégrations, Supervision temps réel (grille agents CC-Agent-Status), webhook CDR FusionPBX (mod_json_cdr, jeton par connecteur), Rapports &gt; Téléphonie (historique/export CSV/enregistrements/export ZIP). Six correctifs de parsing CDR validés contre trafic réel.</t>
        </is>
      </c>
      <c r="D63" s="51" t="inlineStr">
        <is>
          <t>À faire</t>
        </is>
      </c>
      <c r="E63" s="51" t="inlineStr">
        <is>
          <t>Complété</t>
        </is>
      </c>
      <c r="F63" s="51" t="inlineStr">
        <is>
          <t>236 tests backend au total</t>
        </is>
      </c>
    </row>
    <row r="64">
      <c r="A64" s="51" t="inlineStr">
        <is>
          <t>2026-08-14</t>
        </is>
      </c>
      <c r="B64" s="51" t="inlineStr">
        <is>
          <t>4.7</t>
        </is>
      </c>
      <c r="C64" s="51" t="inlineStr">
        <is>
          <t>Fix footer masquant les tiroirs d'édition</t>
        </is>
      </c>
      <c r="D64" s="51" t="inlineStr">
        <is>
          <t>—</t>
        </is>
      </c>
      <c r="E64" s="51" t="inlineStr">
        <is>
          <t>Complété</t>
        </is>
      </c>
      <c r="F64" s="51" t="inlineStr">
        <is>
          <t>bottom:0 -&gt; var(--v-layout-bottom, 34px) sur .ecd-overlay/.ead-overlay.</t>
        </is>
      </c>
    </row>
    <row r="65">
      <c r="A65" s="51" t="inlineStr">
        <is>
          <t>2026-08-14</t>
        </is>
      </c>
      <c r="B65" s="51" t="inlineStr">
        <is>
          <t>5.5</t>
        </is>
      </c>
      <c r="C65" s="51" t="inlineStr">
        <is>
          <t>Fix VITE_INACTIVITY_TIMEOUT_MINUTES non propagé au build Docker</t>
        </is>
      </c>
      <c r="D65" s="51" t="inlineStr">
        <is>
          <t>—</t>
        </is>
      </c>
      <c r="E65" s="51" t="inlineStr">
        <is>
          <t>Complété</t>
        </is>
      </c>
      <c r="F65" s="51" t="inlineStr">
        <is>
          <t>Build arg frontend dérivé de SESSION_INACTIVITY_TIMEOUT_MINUTES (backend), plus de variable VITE_ séparée à synchroniser à la main.</t>
        </is>
      </c>
    </row>
    <row r="66">
      <c r="A66" s="51" t="inlineStr">
        <is>
          <t>2026-08-14</t>
        </is>
      </c>
      <c r="B66" s="51" t="inlineStr">
        <is>
          <t>13.3</t>
        </is>
      </c>
      <c r="C66" s="51" t="inlineStr">
        <is>
          <t>Fix affichage agent déduit (appels sortants directs)</t>
        </is>
      </c>
      <c r="D66" s="51" t="inlineStr">
        <is>
          <t>—</t>
        </is>
      </c>
      <c r="E66" s="51" t="inlineStr">
        <is>
          <t>Complété</t>
        </is>
      </c>
      <c r="F66" s="51" t="inlineStr">
        <is>
          <t>Gate frontend corrigé (agent_name/agent_login au lieu de agent_login seul) + indice visuel « déduit ».</t>
        </is>
      </c>
    </row>
    <row r="67">
      <c r="A67" s="51" t="inlineStr">
        <is>
          <t>2026-08-14</t>
        </is>
      </c>
      <c r="B67" s="51" t="inlineStr">
        <is>
          <t>16.4</t>
        </is>
      </c>
      <c r="C67" s="51" t="inlineStr">
        <is>
          <t>Colonnes Dernière modification/Clôturé le (Commandes/Anomalies)</t>
        </is>
      </c>
      <c r="D67" s="51" t="inlineStr">
        <is>
          <t>—</t>
        </is>
      </c>
      <c r="E67" s="51" t="inlineStr">
        <is>
          <t>Complété</t>
        </is>
      </c>
      <c r="F67" s="51" t="inlineStr">
        <is>
          <t>closed_by_nom ajouté à la sérialisation ; closed_by_id posé par on_status_change().</t>
        </is>
      </c>
    </row>
    <row r="68">
      <c r="A68" s="51" t="inlineStr">
        <is>
          <t>2026-08-14</t>
        </is>
      </c>
      <c r="B68" s="51" t="inlineStr">
        <is>
          <t>17.1</t>
        </is>
      </c>
      <c r="C68" s="51" t="inlineStr">
        <is>
          <t>Nouvelle vue Mon Profil (self-service)</t>
        </is>
      </c>
      <c r="D68" s="51" t="inlineStr">
        <is>
          <t>—</t>
        </is>
      </c>
      <c r="E68" s="51" t="inlineStr">
        <is>
          <t>Complété</t>
        </is>
      </c>
      <c r="F68" s="51" t="inlineStr">
        <is>
          <t>PATCH /api/users/me (jwt_required, sans role ADMIN) pour nom/prénom/avatar ; mot de passe via l'endpoint self-service existant.</t>
        </is>
      </c>
    </row>
    <row r="69">
      <c r="A69" s="51" t="inlineStr">
        <is>
          <t>2026-08-14</t>
        </is>
      </c>
      <c r="B69" s="51" t="inlineStr">
        <is>
          <t>5.4</t>
        </is>
      </c>
      <c r="C69" s="51" t="inlineStr">
        <is>
          <t>Baseline formelle de couverture de tests (pytest --cov)</t>
        </is>
      </c>
      <c r="D69" s="51" t="inlineStr">
        <is>
          <t>À faire</t>
        </is>
      </c>
      <c r="E69" s="51" t="inlineStr">
        <is>
          <t>En cours</t>
        </is>
      </c>
      <c r="F69" s="51" t="inlineStr">
        <is>
          <t>64% global mesure et documente par module ; objectif 80%+ reporte a un chantier dedie futur (decision utilisateur).</t>
        </is>
      </c>
    </row>
    <row r="70">
      <c r="A70" t="inlineStr">
        <is>
          <t>2026-08-14</t>
        </is>
      </c>
      <c r="B70" t="inlineStr">
        <is>
          <t>6.1-6.6</t>
        </is>
      </c>
      <c r="C70" t="inlineStr">
        <is>
          <t>Phase 6 ERP — fondations transverses (flag, ErpConfig, erp_sync_queue, routes settings, erp_client.py, dispatch)</t>
        </is>
      </c>
      <c r="D70" t="inlineStr">
        <is>
          <t>À faire</t>
        </is>
      </c>
      <c r="E70" t="inlineStr">
        <is>
          <t>Complété/En cours</t>
        </is>
      </c>
      <c r="F70" t="inlineStr">
        <is>
          <t>Renommage Odoo-&gt;Erp (motif générique du plan). erp-sync-dispatch reste En cours : verrouillage opérationnel, rejeu réel différé Phase 7.</t>
        </is>
      </c>
    </row>
    <row r="71">
      <c r="A71" t="inlineStr">
        <is>
          <t>2026-08-14</t>
        </is>
      </c>
      <c r="B71" t="inlineStr">
        <is>
          <t>6.7-6.10</t>
        </is>
      </c>
      <c r="C71" t="inlineStr">
        <is>
          <t>Ajouts au périmètre Phase 6 (§5 du plan, hors 6 lignes initiales du suivi)</t>
        </is>
      </c>
      <c r="D71" t="inlineStr">
        <is>
          <t>—</t>
        </is>
      </c>
      <c r="E71" t="inlineStr">
        <is>
          <t>Complété/En cours</t>
        </is>
      </c>
      <c r="F71" t="inlineStr">
        <is>
          <t>fake_erp_client.py, flask erp-backfill (squelette), réglages tenant §4.3, accès direct ERP audité §4.4.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2026-05-10T17:16:41Z</dcterms:created>
  <dcterms:modified xsi:type="dcterms:W3CDTF">2026-08-14T21:36:30Z</dcterms:modified>
  <cp:revision>0</cp:revision>
</cp:coreProperties>
</file>